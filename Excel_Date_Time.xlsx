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DC128\Downloads\"/>
    </mc:Choice>
  </mc:AlternateContent>
  <xr:revisionPtr revIDLastSave="0" documentId="13_ncr:1_{120933DF-1863-4FA6-8EFA-DAF36865562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tudent Practice Data" sheetId="1" r:id="rId1"/>
    <sheet name="practi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1" i="2" l="1" a="1"/>
  <c r="AH11" i="2" s="1"/>
  <c r="AH10" i="2" a="1"/>
  <c r="AH10" i="2" s="1"/>
  <c r="AH9" i="2" a="1"/>
  <c r="AH9" i="2"/>
  <c r="AH8" i="2" a="1"/>
  <c r="AH8" i="2"/>
  <c r="AH7" i="2" a="1"/>
  <c r="AH7" i="2" s="1"/>
  <c r="AH6" i="2" a="1"/>
  <c r="AH6" i="2" s="1"/>
  <c r="AH5" i="2" a="1"/>
  <c r="AH5" i="2"/>
  <c r="AH4" i="2" a="1"/>
  <c r="AH4" i="2"/>
  <c r="AH3" i="2" a="1"/>
  <c r="AH3" i="2" s="1"/>
  <c r="AH2" i="2" a="1"/>
  <c r="AH2" i="2" s="1"/>
  <c r="AB3" i="2"/>
  <c r="AB4" i="2"/>
  <c r="AB5" i="2"/>
  <c r="AB6" i="2"/>
  <c r="AB7" i="2"/>
  <c r="AB8" i="2"/>
  <c r="AB9" i="2"/>
  <c r="AB10" i="2"/>
  <c r="AB11" i="2"/>
  <c r="AB2" i="2"/>
  <c r="AG3" i="2"/>
  <c r="AG4" i="2"/>
  <c r="AG5" i="2"/>
  <c r="AG6" i="2"/>
  <c r="AG7" i="2"/>
  <c r="AG8" i="2"/>
  <c r="AG9" i="2"/>
  <c r="AG10" i="2"/>
  <c r="AG11" i="2"/>
  <c r="AG2" i="2"/>
  <c r="AF3" i="2"/>
  <c r="AF4" i="2"/>
  <c r="AF5" i="2"/>
  <c r="AF6" i="2"/>
  <c r="AF7" i="2"/>
  <c r="AF8" i="2"/>
  <c r="AF9" i="2"/>
  <c r="AF10" i="2"/>
  <c r="AF11" i="2"/>
  <c r="AF2" i="2"/>
  <c r="AE3" i="2"/>
  <c r="AE4" i="2"/>
  <c r="AE5" i="2"/>
  <c r="AE6" i="2"/>
  <c r="AE7" i="2"/>
  <c r="AE8" i="2"/>
  <c r="AE9" i="2"/>
  <c r="AE10" i="2"/>
  <c r="AE11" i="2"/>
  <c r="AE2" i="2"/>
  <c r="AD3" i="2"/>
  <c r="AD4" i="2"/>
  <c r="AD5" i="2"/>
  <c r="AD6" i="2"/>
  <c r="AD7" i="2"/>
  <c r="AD8" i="2"/>
  <c r="AD9" i="2"/>
  <c r="AD10" i="2"/>
  <c r="AD11" i="2"/>
  <c r="AD2" i="2"/>
  <c r="W3" i="2"/>
  <c r="X3" i="2"/>
  <c r="Y3" i="2"/>
  <c r="Z3" i="2"/>
  <c r="W4" i="2"/>
  <c r="X4" i="2"/>
  <c r="Y4" i="2"/>
  <c r="Z4" i="2"/>
  <c r="W5" i="2"/>
  <c r="X5" i="2"/>
  <c r="Y5" i="2"/>
  <c r="Z5" i="2"/>
  <c r="W6" i="2"/>
  <c r="X6" i="2"/>
  <c r="Y6" i="2"/>
  <c r="Z6" i="2"/>
  <c r="W7" i="2"/>
  <c r="X7" i="2"/>
  <c r="Y7" i="2"/>
  <c r="Z7" i="2"/>
  <c r="W8" i="2"/>
  <c r="X8" i="2"/>
  <c r="Y8" i="2"/>
  <c r="Z8" i="2"/>
  <c r="W9" i="2"/>
  <c r="X9" i="2"/>
  <c r="Y9" i="2"/>
  <c r="Z9" i="2"/>
  <c r="W10" i="2"/>
  <c r="X10" i="2"/>
  <c r="Y10" i="2"/>
  <c r="Z10" i="2"/>
  <c r="W11" i="2"/>
  <c r="X11" i="2"/>
  <c r="Y11" i="2"/>
  <c r="Z11" i="2"/>
  <c r="Z2" i="2"/>
  <c r="Y2" i="2"/>
  <c r="X2" i="2"/>
  <c r="W2" i="2"/>
  <c r="U3" i="2"/>
  <c r="U4" i="2"/>
  <c r="U5" i="2"/>
  <c r="U6" i="2"/>
  <c r="U7" i="2"/>
  <c r="U8" i="2"/>
  <c r="U9" i="2"/>
  <c r="U10" i="2"/>
  <c r="U11" i="2"/>
  <c r="U2" i="2"/>
  <c r="T3" i="2"/>
  <c r="T4" i="2"/>
  <c r="T5" i="2"/>
  <c r="T6" i="2"/>
  <c r="T7" i="2"/>
  <c r="T8" i="2"/>
  <c r="T9" i="2"/>
  <c r="T10" i="2"/>
  <c r="T11" i="2"/>
  <c r="T2" i="2"/>
  <c r="S3" i="2"/>
  <c r="S4" i="2"/>
  <c r="S5" i="2"/>
  <c r="S6" i="2"/>
  <c r="S7" i="2"/>
  <c r="S8" i="2"/>
  <c r="S9" i="2"/>
  <c r="S10" i="2"/>
  <c r="S11" i="2"/>
  <c r="S2" i="2"/>
  <c r="O3" i="2"/>
  <c r="P3" i="2"/>
  <c r="Q3" i="2"/>
  <c r="O4" i="2"/>
  <c r="P4" i="2"/>
  <c r="Q4" i="2"/>
  <c r="O5" i="2"/>
  <c r="P5" i="2"/>
  <c r="Q5" i="2"/>
  <c r="O6" i="2"/>
  <c r="P6" i="2"/>
  <c r="Q6" i="2"/>
  <c r="O7" i="2"/>
  <c r="P7" i="2"/>
  <c r="Q7" i="2"/>
  <c r="O8" i="2"/>
  <c r="P8" i="2"/>
  <c r="Q8" i="2"/>
  <c r="O9" i="2"/>
  <c r="P9" i="2"/>
  <c r="Q9" i="2"/>
  <c r="O10" i="2"/>
  <c r="P10" i="2"/>
  <c r="Q10" i="2"/>
  <c r="O11" i="2"/>
  <c r="P11" i="2"/>
  <c r="Q11" i="2"/>
  <c r="Q2" i="2"/>
  <c r="P2" i="2"/>
  <c r="O2" i="2"/>
  <c r="L3" i="2"/>
  <c r="L4" i="2"/>
  <c r="L5" i="2"/>
  <c r="L6" i="2"/>
  <c r="L7" i="2"/>
  <c r="L8" i="2"/>
  <c r="L9" i="2"/>
  <c r="L10" i="2"/>
  <c r="L11" i="2"/>
  <c r="M3" i="2"/>
  <c r="M4" i="2"/>
  <c r="M5" i="2"/>
  <c r="M6" i="2"/>
  <c r="M7" i="2"/>
  <c r="M8" i="2"/>
  <c r="M9" i="2"/>
  <c r="M10" i="2"/>
  <c r="M11" i="2"/>
  <c r="M2" i="2"/>
  <c r="L2" i="2"/>
  <c r="K3" i="2"/>
  <c r="K4" i="2"/>
  <c r="K5" i="2"/>
  <c r="K6" i="2"/>
  <c r="K7" i="2"/>
  <c r="K8" i="2"/>
  <c r="K9" i="2"/>
  <c r="K10" i="2"/>
  <c r="K11" i="2"/>
  <c r="K2" i="2"/>
  <c r="J3" i="2"/>
  <c r="J4" i="2"/>
  <c r="J5" i="2"/>
  <c r="J6" i="2"/>
  <c r="J7" i="2"/>
  <c r="J8" i="2"/>
  <c r="J9" i="2"/>
  <c r="J10" i="2"/>
  <c r="J11" i="2"/>
  <c r="J2" i="2"/>
  <c r="I3" i="2"/>
  <c r="I4" i="2"/>
  <c r="I5" i="2"/>
  <c r="I6" i="2"/>
  <c r="I7" i="2"/>
  <c r="I8" i="2"/>
  <c r="I9" i="2"/>
  <c r="I10" i="2"/>
  <c r="I11" i="2"/>
  <c r="I2" i="2"/>
  <c r="AH2" i="1" a="1"/>
  <c r="AH2" i="1" s="1"/>
  <c r="AG2" i="1"/>
  <c r="AF2" i="1"/>
  <c r="AD2" i="1"/>
  <c r="Y2" i="1"/>
  <c r="T2" i="1"/>
  <c r="S2" i="1"/>
  <c r="AH3" i="1" a="1"/>
  <c r="AH3" i="1" s="1"/>
  <c r="AH4" i="1" a="1"/>
  <c r="AH4" i="1" s="1"/>
  <c r="AH5" i="1" a="1"/>
  <c r="AH5" i="1" s="1"/>
  <c r="AH6" i="1" a="1"/>
  <c r="AH6" i="1"/>
  <c r="AH7" i="1" a="1"/>
  <c r="AH7" i="1" s="1"/>
  <c r="AH8" i="1" a="1"/>
  <c r="AH8" i="1" s="1"/>
  <c r="AH9" i="1" a="1"/>
  <c r="AH9" i="1" s="1"/>
  <c r="AH10" i="1" a="1"/>
  <c r="AH10" i="1" s="1"/>
  <c r="AH11" i="1" a="1"/>
  <c r="AH11" i="1" s="1"/>
  <c r="AG3" i="1"/>
  <c r="AG4" i="1"/>
  <c r="AG5" i="1"/>
  <c r="AG6" i="1"/>
  <c r="AG7" i="1"/>
  <c r="AG8" i="1"/>
  <c r="AG9" i="1"/>
  <c r="AG10" i="1"/>
  <c r="AG11" i="1"/>
  <c r="AF3" i="1"/>
  <c r="AF4" i="1"/>
  <c r="AF5" i="1"/>
  <c r="AF6" i="1"/>
  <c r="AF7" i="1"/>
  <c r="AF8" i="1"/>
  <c r="AF9" i="1"/>
  <c r="AF10" i="1"/>
  <c r="AF11" i="1"/>
  <c r="AE2" i="1"/>
  <c r="AE3" i="1"/>
  <c r="AE4" i="1"/>
  <c r="AE5" i="1"/>
  <c r="AE6" i="1"/>
  <c r="AE7" i="1"/>
  <c r="AE8" i="1"/>
  <c r="AE9" i="1"/>
  <c r="AE10" i="1"/>
  <c r="AE11" i="1"/>
  <c r="AD11" i="1"/>
  <c r="AD3" i="1"/>
  <c r="AD4" i="1"/>
  <c r="AD5" i="1"/>
  <c r="AD6" i="1"/>
  <c r="AD7" i="1"/>
  <c r="AD8" i="1"/>
  <c r="AD9" i="1"/>
  <c r="AD10" i="1"/>
  <c r="AB3" i="1"/>
  <c r="AB4" i="1"/>
  <c r="AB5" i="1"/>
  <c r="AB6" i="1"/>
  <c r="AB7" i="1"/>
  <c r="AB8" i="1"/>
  <c r="AB9" i="1"/>
  <c r="AB10" i="1"/>
  <c r="AB11" i="1"/>
  <c r="AB2" i="1"/>
  <c r="Z2" i="1"/>
  <c r="X2" i="1"/>
  <c r="W2" i="1"/>
  <c r="U3" i="1"/>
  <c r="U4" i="1"/>
  <c r="U5" i="1"/>
  <c r="U6" i="1"/>
  <c r="U7" i="1"/>
  <c r="U8" i="1"/>
  <c r="U9" i="1"/>
  <c r="U10" i="1"/>
  <c r="U11" i="1"/>
  <c r="U2" i="1"/>
  <c r="T3" i="1"/>
  <c r="T4" i="1"/>
  <c r="T5" i="1"/>
  <c r="T6" i="1"/>
  <c r="T7" i="1"/>
  <c r="T8" i="1"/>
  <c r="T9" i="1"/>
  <c r="T10" i="1"/>
  <c r="T11" i="1"/>
  <c r="S3" i="1"/>
  <c r="S4" i="1"/>
  <c r="S5" i="1"/>
  <c r="S6" i="1"/>
  <c r="S7" i="1"/>
  <c r="S8" i="1"/>
  <c r="S9" i="1"/>
  <c r="S10" i="1"/>
  <c r="S11" i="1"/>
  <c r="Q3" i="1"/>
  <c r="Q4" i="1"/>
  <c r="Q5" i="1"/>
  <c r="Q6" i="1"/>
  <c r="Q7" i="1"/>
  <c r="Q8" i="1"/>
  <c r="Q9" i="1"/>
  <c r="Q10" i="1"/>
  <c r="Q11" i="1"/>
  <c r="Q2" i="1"/>
  <c r="P3" i="1"/>
  <c r="P4" i="1"/>
  <c r="P5" i="1"/>
  <c r="P6" i="1"/>
  <c r="P7" i="1"/>
  <c r="P8" i="1"/>
  <c r="P9" i="1"/>
  <c r="P10" i="1"/>
  <c r="P11" i="1"/>
  <c r="P2" i="1"/>
  <c r="O3" i="1"/>
  <c r="O4" i="1"/>
  <c r="O5" i="1"/>
  <c r="O6" i="1"/>
  <c r="O7" i="1"/>
  <c r="O8" i="1"/>
  <c r="O9" i="1"/>
  <c r="O10" i="1"/>
  <c r="O11" i="1"/>
  <c r="O2" i="1"/>
  <c r="M3" i="1"/>
  <c r="M4" i="1"/>
  <c r="M5" i="1"/>
  <c r="M6" i="1"/>
  <c r="M7" i="1"/>
  <c r="M8" i="1"/>
  <c r="M9" i="1"/>
  <c r="M10" i="1"/>
  <c r="M11" i="1"/>
  <c r="M2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<sst xmlns="http://schemas.openxmlformats.org/spreadsheetml/2006/main" count="95" uniqueCount="49">
  <si>
    <t>Employee ID</t>
  </si>
  <si>
    <t>Employee Name</t>
  </si>
  <si>
    <t>Clock-In Time</t>
  </si>
  <si>
    <t>Clock-Out Time</t>
  </si>
  <si>
    <t>Birth Date</t>
  </si>
  <si>
    <t>Project Start Date</t>
  </si>
  <si>
    <t>Project End Date</t>
  </si>
  <si>
    <t>EMP-101</t>
  </si>
  <si>
    <t>Aarav Sharma</t>
  </si>
  <si>
    <t>EMP-102</t>
  </si>
  <si>
    <t>Priya Patel</t>
  </si>
  <si>
    <t>EMP-103</t>
  </si>
  <si>
    <t>Rohan Verma</t>
  </si>
  <si>
    <t>EMP-104</t>
  </si>
  <si>
    <t>Ananya Iyer</t>
  </si>
  <si>
    <t>EMP-105</t>
  </si>
  <si>
    <t>Vikram Singh</t>
  </si>
  <si>
    <t>EMP-106</t>
  </si>
  <si>
    <t>Sneha Gupta</t>
  </si>
  <si>
    <t>EMP-107</t>
  </si>
  <si>
    <t>Karan Nair</t>
  </si>
  <si>
    <t>EMP-108</t>
  </si>
  <si>
    <t>Meera Joshi</t>
  </si>
  <si>
    <t>EMP-109</t>
  </si>
  <si>
    <t>Aditya Rao</t>
  </si>
  <si>
    <t>EMP-110</t>
  </si>
  <si>
    <t>Neha Kapoor</t>
  </si>
  <si>
    <t>Day</t>
  </si>
  <si>
    <t>Month</t>
  </si>
  <si>
    <t>Year</t>
  </si>
  <si>
    <t>WeekDay</t>
  </si>
  <si>
    <t>WeekNum</t>
  </si>
  <si>
    <t>Hour</t>
  </si>
  <si>
    <t>Minute</t>
  </si>
  <si>
    <t>Second</t>
  </si>
  <si>
    <t>Text</t>
  </si>
  <si>
    <t>Today</t>
  </si>
  <si>
    <t>Now</t>
  </si>
  <si>
    <t>Date</t>
  </si>
  <si>
    <t>Time</t>
  </si>
  <si>
    <t>Datedif -D/M/Y</t>
  </si>
  <si>
    <t>EOMONTH</t>
  </si>
  <si>
    <t>WORKDAY</t>
  </si>
  <si>
    <t>Calculates the date 90 business days after Project Start Date</t>
  </si>
  <si>
    <t>NetWorkDays</t>
  </si>
  <si>
    <t>Calculates exact working days between Project Start and End, excluding Saturdays/Sundays</t>
  </si>
  <si>
    <t>NETWORKDAYS.INTL</t>
  </si>
  <si>
    <t>NetWorkDays - Holiday parameter</t>
  </si>
  <si>
    <t>Unlike standard NETWORKDAYS (which forces a Saturday/Sunday weekend), INTL allows you to define custom weekend days (e.g., Friday/Saturday, Sunday-only, or any specific off days).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</si>
</sst>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14" fontId="0" fillId="0" borderId="0" xfId="0" applyNumberFormat="1"/>
    <xf numFmtId="22" fontId="0" fillId="0" borderId="0" xfId="0" applyNumberFormat="1"/>
    <xf numFmtId="18" fontId="0" fillId="0" borderId="0" xfId="0" applyNumberFormat="1"/>
    <xf numFmtId="14" fontId="0" fillId="2" borderId="0" xfId="0" applyNumberFormat="1" applyFill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"/>
  <sheetViews>
    <sheetView workbookViewId="0">
      <pane xSplit="7" topLeftCell="AH1" activePane="topRight" state="frozen"/>
      <selection pane="topRight" activeCell="AH2" sqref="AH2"/>
    </sheetView>
  </sheetViews>
  <sheetFormatPr defaultRowHeight="15" x14ac:dyDescent="0.25"/>
  <cols>
    <col min="1" max="1" width="12.140625" bestFit="1" customWidth="1"/>
    <col min="2" max="2" width="15.7109375" bestFit="1" customWidth="1"/>
    <col min="3" max="3" width="17.28515625" bestFit="1" customWidth="1"/>
    <col min="4" max="4" width="18.28515625" bestFit="1" customWidth="1"/>
    <col min="5" max="5" width="10.42578125" bestFit="1" customWidth="1"/>
    <col min="6" max="6" width="16.5703125" bestFit="1" customWidth="1"/>
    <col min="7" max="7" width="15.7109375" bestFit="1" customWidth="1"/>
    <col min="13" max="13" width="11.140625" customWidth="1"/>
    <col min="20" max="20" width="12.7109375" customWidth="1"/>
    <col min="23" max="23" width="10.42578125" bestFit="1" customWidth="1"/>
    <col min="24" max="24" width="15.5703125" bestFit="1" customWidth="1"/>
    <col min="25" max="25" width="10.42578125" bestFit="1" customWidth="1"/>
    <col min="28" max="28" width="14.28515625" customWidth="1"/>
    <col min="30" max="30" width="11" style="4" customWidth="1"/>
    <col min="31" max="31" width="10.42578125" style="4" bestFit="1" customWidth="1"/>
    <col min="32" max="32" width="14.28515625" customWidth="1"/>
    <col min="33" max="33" width="18.28515625" customWidth="1"/>
    <col min="34" max="34" width="34.5703125" customWidth="1"/>
    <col min="35" max="35" width="24" customWidth="1"/>
  </cols>
  <sheetData>
    <row r="1" spans="1:3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O1" s="3" t="s">
        <v>32</v>
      </c>
      <c r="P1" s="3" t="s">
        <v>33</v>
      </c>
      <c r="Q1" s="3" t="s">
        <v>34</v>
      </c>
      <c r="S1" s="8" t="s">
        <v>35</v>
      </c>
      <c r="T1" s="8"/>
      <c r="U1" s="8"/>
      <c r="W1" s="3" t="s">
        <v>36</v>
      </c>
      <c r="X1" s="3" t="s">
        <v>37</v>
      </c>
      <c r="Y1" s="3" t="s">
        <v>38</v>
      </c>
      <c r="Z1" s="3" t="s">
        <v>39</v>
      </c>
      <c r="AB1" s="3" t="s">
        <v>40</v>
      </c>
      <c r="AD1" s="7" t="s">
        <v>41</v>
      </c>
      <c r="AE1" s="7" t="s">
        <v>42</v>
      </c>
      <c r="AF1" s="3" t="s">
        <v>44</v>
      </c>
      <c r="AG1" s="3" t="s">
        <v>46</v>
      </c>
      <c r="AH1" s="3" t="s">
        <v>47</v>
      </c>
    </row>
    <row r="2" spans="1:34" x14ac:dyDescent="0.25">
      <c r="A2" t="s">
        <v>7</v>
      </c>
      <c r="B2" t="s">
        <v>8</v>
      </c>
      <c r="C2" s="1">
        <v>46244.354166666657</v>
      </c>
      <c r="D2" s="1">
        <v>46244.71875</v>
      </c>
      <c r="E2" s="2">
        <v>33709</v>
      </c>
      <c r="F2" s="2">
        <v>46037</v>
      </c>
      <c r="G2" s="2">
        <v>46234</v>
      </c>
      <c r="I2">
        <f>DAY(E2)</f>
        <v>15</v>
      </c>
      <c r="J2">
        <f>MONTH(E2)</f>
        <v>4</v>
      </c>
      <c r="K2">
        <f>YEAR(E2)</f>
        <v>1992</v>
      </c>
      <c r="L2">
        <f>WEEKDAY(E2,2)</f>
        <v>3</v>
      </c>
      <c r="M2">
        <f>WEEKNUM(E2)</f>
        <v>16</v>
      </c>
      <c r="O2">
        <f>HOUR(C2)</f>
        <v>8</v>
      </c>
      <c r="P2">
        <f>MINUTE(C2)</f>
        <v>30</v>
      </c>
      <c r="Q2">
        <f>SECOND(C2)</f>
        <v>0</v>
      </c>
      <c r="S2" t="str">
        <f>TEXT(E2, "dddd")</f>
        <v>Wednesday</v>
      </c>
      <c r="T2" t="str">
        <f>TEXT(E2, "mmm dd, yyyy")</f>
        <v>Apr 15, 1992</v>
      </c>
      <c r="U2" t="str">
        <f>TEXT(C2, "hh:mm AM/PM")</f>
        <v>08:30 AM</v>
      </c>
      <c r="W2" s="4">
        <f ca="1">TODAY()</f>
        <v>46251</v>
      </c>
      <c r="X2" s="5">
        <f ca="1">NOW()</f>
        <v>46251.522092939813</v>
      </c>
      <c r="Y2" s="4">
        <f>DATE(2026, 8, 10)</f>
        <v>46244</v>
      </c>
      <c r="Z2" s="6">
        <f>TIME(17, 15, 0)</f>
        <v>0.71875</v>
      </c>
      <c r="AB2">
        <f>DATEDIF(F2, G2, "D")</f>
        <v>197</v>
      </c>
      <c r="AD2" s="4">
        <f>EOMONTH(F2, 0)</f>
        <v>46053</v>
      </c>
      <c r="AE2" s="4">
        <f>WORKDAY(F2, 90)</f>
        <v>46163</v>
      </c>
      <c r="AF2">
        <f>NETWORKDAYS(F2, G2)</f>
        <v>142</v>
      </c>
      <c r="AG2">
        <f>NETWORKDAYS.INTL(F2,G2,13)</f>
        <v>170</v>
      </c>
      <c r="AH2" cm="1">
        <f t="array" ref="AH2">NETWORKDAYS(F2,G2,DATEVALUE({"2026-01-26","2026-08-15"}))</f>
        <v>141</v>
      </c>
    </row>
    <row r="3" spans="1:34" x14ac:dyDescent="0.25">
      <c r="A3" t="s">
        <v>9</v>
      </c>
      <c r="B3" t="s">
        <v>10</v>
      </c>
      <c r="C3" s="1">
        <v>46244.378472222219</v>
      </c>
      <c r="D3" s="1">
        <v>46244.75</v>
      </c>
      <c r="E3" s="2">
        <v>32470</v>
      </c>
      <c r="F3" s="2">
        <v>45809</v>
      </c>
      <c r="G3" s="2">
        <v>46173</v>
      </c>
      <c r="I3">
        <f t="shared" ref="I3:I11" si="0">DAY(E3)</f>
        <v>23</v>
      </c>
      <c r="J3">
        <f t="shared" ref="J3:J11" si="1">MONTH(E3)</f>
        <v>11</v>
      </c>
      <c r="K3">
        <f t="shared" ref="K3:K11" si="2">YEAR(E3)</f>
        <v>1988</v>
      </c>
      <c r="L3">
        <f t="shared" ref="L3:L11" si="3">WEEKDAY(E3,2)</f>
        <v>3</v>
      </c>
      <c r="M3">
        <f t="shared" ref="M3:M11" si="4">WEEKNUM(E3)</f>
        <v>48</v>
      </c>
      <c r="O3">
        <f t="shared" ref="O3:O11" si="5">HOUR(C3)</f>
        <v>9</v>
      </c>
      <c r="P3">
        <f t="shared" ref="P3:P11" si="6">MINUTE(C3)</f>
        <v>5</v>
      </c>
      <c r="Q3">
        <f t="shared" ref="Q3:Q11" si="7">SECOND(C3)</f>
        <v>0</v>
      </c>
      <c r="S3" t="str">
        <f t="shared" ref="S3:S11" si="8">TEXT(E3, "dddd")</f>
        <v>Wednesday</v>
      </c>
      <c r="T3" t="str">
        <f t="shared" ref="T3:T11" si="9">TEXT(E3, "mmm dd, yyyy")</f>
        <v>Nov 23, 1988</v>
      </c>
      <c r="U3" t="str">
        <f t="shared" ref="U3:U11" si="10">TEXT(C3, "hh:mm AM/PM")</f>
        <v>09:05 AM</v>
      </c>
      <c r="AB3">
        <f t="shared" ref="AB3:AB11" si="11">DATEDIF(F3, G3, "D")</f>
        <v>364</v>
      </c>
      <c r="AD3" s="4">
        <f t="shared" ref="AD3:AD10" si="12">EOMONTH(F3, 0)</f>
        <v>45838</v>
      </c>
      <c r="AE3" s="4">
        <f t="shared" ref="AE3:AE11" si="13">WORKDAY(F3, 90)</f>
        <v>45933</v>
      </c>
      <c r="AF3">
        <f t="shared" ref="AF3:AF11" si="14">NETWORKDAYS(F3, G3)</f>
        <v>260</v>
      </c>
      <c r="AG3">
        <f t="shared" ref="AG3:AG11" si="15">NETWORKDAYS.INTL(F3,G3,13)</f>
        <v>313</v>
      </c>
      <c r="AH3" cm="1">
        <f t="array" ref="AH3">NETWORKDAYS(F3,G3,DATEVALUE({"2026-01-26","2026-08-15"}))</f>
        <v>259</v>
      </c>
    </row>
    <row r="4" spans="1:34" x14ac:dyDescent="0.25">
      <c r="A4" t="s">
        <v>11</v>
      </c>
      <c r="B4" t="s">
        <v>12</v>
      </c>
      <c r="C4" s="1">
        <v>46244.364583333336</v>
      </c>
      <c r="D4" s="1">
        <v>46244.6875</v>
      </c>
      <c r="E4" s="2">
        <v>34740</v>
      </c>
      <c r="F4" s="2">
        <v>46082</v>
      </c>
      <c r="G4" s="2">
        <v>46249</v>
      </c>
      <c r="I4">
        <f t="shared" si="0"/>
        <v>10</v>
      </c>
      <c r="J4">
        <f t="shared" si="1"/>
        <v>2</v>
      </c>
      <c r="K4">
        <f t="shared" si="2"/>
        <v>1995</v>
      </c>
      <c r="L4">
        <f t="shared" si="3"/>
        <v>5</v>
      </c>
      <c r="M4">
        <f t="shared" si="4"/>
        <v>6</v>
      </c>
      <c r="O4">
        <f t="shared" si="5"/>
        <v>8</v>
      </c>
      <c r="P4">
        <f t="shared" si="6"/>
        <v>45</v>
      </c>
      <c r="Q4">
        <f t="shared" si="7"/>
        <v>0</v>
      </c>
      <c r="S4" t="str">
        <f t="shared" si="8"/>
        <v>Friday</v>
      </c>
      <c r="T4" t="str">
        <f t="shared" si="9"/>
        <v>Feb 10, 1995</v>
      </c>
      <c r="U4" t="str">
        <f t="shared" si="10"/>
        <v>08:45 AM</v>
      </c>
      <c r="AB4">
        <f t="shared" si="11"/>
        <v>167</v>
      </c>
      <c r="AD4" s="4">
        <f t="shared" si="12"/>
        <v>46112</v>
      </c>
      <c r="AE4" s="4">
        <f t="shared" si="13"/>
        <v>46206</v>
      </c>
      <c r="AF4">
        <f t="shared" si="14"/>
        <v>120</v>
      </c>
      <c r="AG4">
        <f t="shared" si="15"/>
        <v>144</v>
      </c>
      <c r="AH4" cm="1">
        <f t="array" ref="AH4">NETWORKDAYS(F4,G4,DATEVALUE({"2026-01-26","2026-08-15"}))</f>
        <v>120</v>
      </c>
    </row>
    <row r="5" spans="1:34" x14ac:dyDescent="0.25">
      <c r="A5" t="s">
        <v>13</v>
      </c>
      <c r="B5" t="s">
        <v>14</v>
      </c>
      <c r="C5" s="1">
        <v>46244.375</v>
      </c>
      <c r="D5" s="1">
        <v>46244.739583333343</v>
      </c>
      <c r="E5" s="2">
        <v>36715</v>
      </c>
      <c r="F5" s="2">
        <v>46063</v>
      </c>
      <c r="G5" s="2">
        <v>46356</v>
      </c>
      <c r="I5">
        <f t="shared" si="0"/>
        <v>8</v>
      </c>
      <c r="J5">
        <f t="shared" si="1"/>
        <v>7</v>
      </c>
      <c r="K5">
        <f t="shared" si="2"/>
        <v>2000</v>
      </c>
      <c r="L5">
        <f t="shared" si="3"/>
        <v>6</v>
      </c>
      <c r="M5">
        <f t="shared" si="4"/>
        <v>28</v>
      </c>
      <c r="O5">
        <f t="shared" si="5"/>
        <v>9</v>
      </c>
      <c r="P5">
        <f t="shared" si="6"/>
        <v>0</v>
      </c>
      <c r="Q5">
        <f t="shared" si="7"/>
        <v>0</v>
      </c>
      <c r="S5" t="str">
        <f t="shared" si="8"/>
        <v>Saturday</v>
      </c>
      <c r="T5" t="str">
        <f t="shared" si="9"/>
        <v>Jul 08, 2000</v>
      </c>
      <c r="U5" t="str">
        <f t="shared" si="10"/>
        <v>09:00 AM</v>
      </c>
      <c r="AB5">
        <f t="shared" si="11"/>
        <v>293</v>
      </c>
      <c r="AD5" s="4">
        <f t="shared" si="12"/>
        <v>46081</v>
      </c>
      <c r="AE5" s="4">
        <f t="shared" si="13"/>
        <v>46189</v>
      </c>
      <c r="AF5">
        <f t="shared" si="14"/>
        <v>210</v>
      </c>
      <c r="AG5">
        <f t="shared" si="15"/>
        <v>252</v>
      </c>
      <c r="AH5" cm="1">
        <f t="array" ref="AH5">NETWORKDAYS(F5,G5,DATEVALUE({"2026-01-26","2026-08-15"}))</f>
        <v>210</v>
      </c>
    </row>
    <row r="6" spans="1:34" x14ac:dyDescent="0.25">
      <c r="A6" t="s">
        <v>15</v>
      </c>
      <c r="B6" t="s">
        <v>16</v>
      </c>
      <c r="C6" s="1">
        <v>46244.34375</v>
      </c>
      <c r="D6" s="1">
        <v>46244.770833333343</v>
      </c>
      <c r="E6" s="2">
        <v>31320</v>
      </c>
      <c r="F6" s="2">
        <v>45566</v>
      </c>
      <c r="G6" s="2">
        <v>46112</v>
      </c>
      <c r="I6">
        <f t="shared" si="0"/>
        <v>30</v>
      </c>
      <c r="J6">
        <f t="shared" si="1"/>
        <v>9</v>
      </c>
      <c r="K6">
        <f t="shared" si="2"/>
        <v>1985</v>
      </c>
      <c r="L6">
        <f t="shared" si="3"/>
        <v>1</v>
      </c>
      <c r="M6">
        <f t="shared" si="4"/>
        <v>40</v>
      </c>
      <c r="O6">
        <f t="shared" si="5"/>
        <v>8</v>
      </c>
      <c r="P6">
        <f t="shared" si="6"/>
        <v>15</v>
      </c>
      <c r="Q6">
        <f t="shared" si="7"/>
        <v>0</v>
      </c>
      <c r="S6" t="str">
        <f t="shared" si="8"/>
        <v>Monday</v>
      </c>
      <c r="T6" t="str">
        <f t="shared" si="9"/>
        <v>Sep 30, 1985</v>
      </c>
      <c r="U6" t="str">
        <f t="shared" si="10"/>
        <v>08:15 AM</v>
      </c>
      <c r="AB6">
        <f t="shared" si="11"/>
        <v>546</v>
      </c>
      <c r="AD6" s="4">
        <f t="shared" si="12"/>
        <v>45596</v>
      </c>
      <c r="AE6" s="4">
        <f t="shared" si="13"/>
        <v>45692</v>
      </c>
      <c r="AF6">
        <f t="shared" si="14"/>
        <v>391</v>
      </c>
      <c r="AG6">
        <f t="shared" si="15"/>
        <v>468</v>
      </c>
      <c r="AH6" cm="1">
        <f t="array" ref="AH6">NETWORKDAYS(F6,G6,DATEVALUE({"2026-01-26","2026-08-15"}))</f>
        <v>390</v>
      </c>
    </row>
    <row r="7" spans="1:34" x14ac:dyDescent="0.25">
      <c r="A7" t="s">
        <v>17</v>
      </c>
      <c r="B7" t="s">
        <v>18</v>
      </c>
      <c r="C7" s="1">
        <v>46244.395833333343</v>
      </c>
      <c r="D7" s="1">
        <v>46244.708333333343</v>
      </c>
      <c r="E7" s="2">
        <v>36134</v>
      </c>
      <c r="F7" s="2">
        <v>46157</v>
      </c>
      <c r="G7" s="2">
        <v>46371</v>
      </c>
      <c r="I7">
        <f t="shared" si="0"/>
        <v>5</v>
      </c>
      <c r="J7">
        <f t="shared" si="1"/>
        <v>12</v>
      </c>
      <c r="K7">
        <f t="shared" si="2"/>
        <v>1998</v>
      </c>
      <c r="L7">
        <f t="shared" si="3"/>
        <v>6</v>
      </c>
      <c r="M7">
        <f t="shared" si="4"/>
        <v>49</v>
      </c>
      <c r="O7">
        <f t="shared" si="5"/>
        <v>9</v>
      </c>
      <c r="P7">
        <f t="shared" si="6"/>
        <v>30</v>
      </c>
      <c r="Q7">
        <f t="shared" si="7"/>
        <v>0</v>
      </c>
      <c r="S7" t="str">
        <f t="shared" si="8"/>
        <v>Saturday</v>
      </c>
      <c r="T7" t="str">
        <f t="shared" si="9"/>
        <v>Dec 05, 1998</v>
      </c>
      <c r="U7" t="str">
        <f t="shared" si="10"/>
        <v>09:30 AM</v>
      </c>
      <c r="AB7">
        <f t="shared" si="11"/>
        <v>214</v>
      </c>
      <c r="AD7" s="4">
        <f t="shared" si="12"/>
        <v>46173</v>
      </c>
      <c r="AE7" s="4">
        <f t="shared" si="13"/>
        <v>46283</v>
      </c>
      <c r="AF7">
        <f t="shared" si="14"/>
        <v>153</v>
      </c>
      <c r="AG7">
        <f t="shared" si="15"/>
        <v>184</v>
      </c>
      <c r="AH7" cm="1">
        <f t="array" ref="AH7">NETWORKDAYS(F7,G7,DATEVALUE({"2026-01-26","2026-08-15"}))</f>
        <v>153</v>
      </c>
    </row>
    <row r="8" spans="1:34" x14ac:dyDescent="0.25">
      <c r="A8" t="s">
        <v>19</v>
      </c>
      <c r="B8" t="s">
        <v>20</v>
      </c>
      <c r="C8" s="1">
        <v>46244.333333333343</v>
      </c>
      <c r="D8" s="1">
        <v>46244.697916666657</v>
      </c>
      <c r="E8" s="2">
        <v>33314</v>
      </c>
      <c r="F8" s="2">
        <v>45962</v>
      </c>
      <c r="G8" s="2">
        <v>46142</v>
      </c>
      <c r="I8">
        <f t="shared" si="0"/>
        <v>17</v>
      </c>
      <c r="J8">
        <f t="shared" si="1"/>
        <v>3</v>
      </c>
      <c r="K8">
        <f t="shared" si="2"/>
        <v>1991</v>
      </c>
      <c r="L8">
        <f t="shared" si="3"/>
        <v>7</v>
      </c>
      <c r="M8">
        <f t="shared" si="4"/>
        <v>12</v>
      </c>
      <c r="O8">
        <f t="shared" si="5"/>
        <v>8</v>
      </c>
      <c r="P8">
        <f t="shared" si="6"/>
        <v>0</v>
      </c>
      <c r="Q8">
        <f t="shared" si="7"/>
        <v>0</v>
      </c>
      <c r="S8" t="str">
        <f t="shared" si="8"/>
        <v>Sunday</v>
      </c>
      <c r="T8" t="str">
        <f t="shared" si="9"/>
        <v>Mar 17, 1991</v>
      </c>
      <c r="U8" t="str">
        <f t="shared" si="10"/>
        <v>08:00 AM</v>
      </c>
      <c r="AB8">
        <f t="shared" si="11"/>
        <v>180</v>
      </c>
      <c r="AD8" s="4">
        <f t="shared" si="12"/>
        <v>45991</v>
      </c>
      <c r="AE8" s="4">
        <f t="shared" si="13"/>
        <v>46087</v>
      </c>
      <c r="AF8">
        <f t="shared" si="14"/>
        <v>129</v>
      </c>
      <c r="AG8">
        <f t="shared" si="15"/>
        <v>155</v>
      </c>
      <c r="AH8" cm="1">
        <f t="array" ref="AH8">NETWORKDAYS(F8,G8,DATEVALUE({"2026-01-26","2026-08-15"}))</f>
        <v>128</v>
      </c>
    </row>
    <row r="9" spans="1:34" x14ac:dyDescent="0.25">
      <c r="A9" t="s">
        <v>21</v>
      </c>
      <c r="B9" t="s">
        <v>22</v>
      </c>
      <c r="C9" s="1">
        <v>46244.385416666657</v>
      </c>
      <c r="D9" s="1">
        <v>46244.760416666657</v>
      </c>
      <c r="E9" s="2">
        <v>34506</v>
      </c>
      <c r="F9" s="2">
        <v>46113</v>
      </c>
      <c r="G9" s="2">
        <v>46295</v>
      </c>
      <c r="I9">
        <f t="shared" si="0"/>
        <v>21</v>
      </c>
      <c r="J9">
        <f t="shared" si="1"/>
        <v>6</v>
      </c>
      <c r="K9">
        <f t="shared" si="2"/>
        <v>1994</v>
      </c>
      <c r="L9">
        <f t="shared" si="3"/>
        <v>2</v>
      </c>
      <c r="M9">
        <f t="shared" si="4"/>
        <v>26</v>
      </c>
      <c r="O9">
        <f t="shared" si="5"/>
        <v>9</v>
      </c>
      <c r="P9">
        <f t="shared" si="6"/>
        <v>15</v>
      </c>
      <c r="Q9">
        <f t="shared" si="7"/>
        <v>0</v>
      </c>
      <c r="S9" t="str">
        <f t="shared" si="8"/>
        <v>Tuesday</v>
      </c>
      <c r="T9" t="str">
        <f t="shared" si="9"/>
        <v>Jun 21, 1994</v>
      </c>
      <c r="U9" t="str">
        <f t="shared" si="10"/>
        <v>09:15 AM</v>
      </c>
      <c r="AB9">
        <f t="shared" si="11"/>
        <v>182</v>
      </c>
      <c r="AD9" s="4">
        <f t="shared" si="12"/>
        <v>46142</v>
      </c>
      <c r="AE9" s="4">
        <f t="shared" si="13"/>
        <v>46239</v>
      </c>
      <c r="AF9">
        <f t="shared" si="14"/>
        <v>131</v>
      </c>
      <c r="AG9">
        <f t="shared" si="15"/>
        <v>157</v>
      </c>
      <c r="AH9" cm="1">
        <f t="array" ref="AH9">NETWORKDAYS(F9,G9,DATEVALUE({"2026-01-26","2026-08-15"}))</f>
        <v>131</v>
      </c>
    </row>
    <row r="10" spans="1:34" x14ac:dyDescent="0.25">
      <c r="A10" t="s">
        <v>23</v>
      </c>
      <c r="B10" t="s">
        <v>24</v>
      </c>
      <c r="C10" s="1">
        <v>46244.368055555547</v>
      </c>
      <c r="D10" s="1">
        <v>46244.729166666657</v>
      </c>
      <c r="E10" s="2">
        <v>32522</v>
      </c>
      <c r="F10" s="2">
        <v>45884</v>
      </c>
      <c r="G10" s="2">
        <v>46081</v>
      </c>
      <c r="I10">
        <f t="shared" si="0"/>
        <v>14</v>
      </c>
      <c r="J10">
        <f t="shared" si="1"/>
        <v>1</v>
      </c>
      <c r="K10">
        <f t="shared" si="2"/>
        <v>1989</v>
      </c>
      <c r="L10">
        <f t="shared" si="3"/>
        <v>6</v>
      </c>
      <c r="M10">
        <f t="shared" si="4"/>
        <v>2</v>
      </c>
      <c r="O10">
        <f t="shared" si="5"/>
        <v>8</v>
      </c>
      <c r="P10">
        <f t="shared" si="6"/>
        <v>50</v>
      </c>
      <c r="Q10">
        <f t="shared" si="7"/>
        <v>0</v>
      </c>
      <c r="S10" t="str">
        <f t="shared" si="8"/>
        <v>Saturday</v>
      </c>
      <c r="T10" t="str">
        <f t="shared" si="9"/>
        <v>Jan 14, 1989</v>
      </c>
      <c r="U10" t="str">
        <f t="shared" si="10"/>
        <v>08:50 AM</v>
      </c>
      <c r="AB10">
        <f t="shared" si="11"/>
        <v>197</v>
      </c>
      <c r="AD10" s="4">
        <f t="shared" si="12"/>
        <v>45900</v>
      </c>
      <c r="AE10" s="4">
        <f t="shared" si="13"/>
        <v>46010</v>
      </c>
      <c r="AF10">
        <f t="shared" si="14"/>
        <v>141</v>
      </c>
      <c r="AG10">
        <f t="shared" si="15"/>
        <v>170</v>
      </c>
      <c r="AH10" cm="1">
        <f t="array" ref="AH10">NETWORKDAYS(F10,G10,DATEVALUE({"2026-01-26","2026-08-15"}))</f>
        <v>140</v>
      </c>
    </row>
    <row r="11" spans="1:34" x14ac:dyDescent="0.25">
      <c r="A11" t="s">
        <v>25</v>
      </c>
      <c r="B11" t="s">
        <v>26</v>
      </c>
      <c r="C11" s="1">
        <v>46244.381944444453</v>
      </c>
      <c r="D11" s="1">
        <v>46244.711805555547</v>
      </c>
      <c r="E11" s="2">
        <v>37193</v>
      </c>
      <c r="F11" s="2">
        <v>46204</v>
      </c>
      <c r="G11" s="2">
        <v>46418</v>
      </c>
      <c r="I11">
        <f t="shared" si="0"/>
        <v>29</v>
      </c>
      <c r="J11">
        <f t="shared" si="1"/>
        <v>10</v>
      </c>
      <c r="K11">
        <f t="shared" si="2"/>
        <v>2001</v>
      </c>
      <c r="L11">
        <f t="shared" si="3"/>
        <v>1</v>
      </c>
      <c r="M11">
        <f t="shared" si="4"/>
        <v>44</v>
      </c>
      <c r="O11">
        <f t="shared" si="5"/>
        <v>9</v>
      </c>
      <c r="P11">
        <f t="shared" si="6"/>
        <v>10</v>
      </c>
      <c r="Q11">
        <f t="shared" si="7"/>
        <v>0</v>
      </c>
      <c r="S11" t="str">
        <f t="shared" si="8"/>
        <v>Monday</v>
      </c>
      <c r="T11" t="str">
        <f t="shared" si="9"/>
        <v>Oct 29, 2001</v>
      </c>
      <c r="U11" t="str">
        <f t="shared" si="10"/>
        <v>09:10 AM</v>
      </c>
      <c r="AB11">
        <f t="shared" si="11"/>
        <v>214</v>
      </c>
      <c r="AD11" s="4">
        <f>EOMONTH(F11, 0)</f>
        <v>46234</v>
      </c>
      <c r="AE11" s="4">
        <f t="shared" si="13"/>
        <v>46330</v>
      </c>
      <c r="AF11">
        <f t="shared" si="14"/>
        <v>153</v>
      </c>
      <c r="AG11">
        <f t="shared" si="15"/>
        <v>185</v>
      </c>
      <c r="AH11" cm="1">
        <f t="array" ref="AH11">NETWORKDAYS(F11,G11,DATEVALUE({"2026-01-26","2026-08-15"}))</f>
        <v>153</v>
      </c>
    </row>
    <row r="13" spans="1:34" ht="15" customHeight="1" x14ac:dyDescent="0.25">
      <c r="AE13" s="9" t="s">
        <v>43</v>
      </c>
      <c r="AF13" s="10" t="s">
        <v>45</v>
      </c>
      <c r="AG13" s="10" t="s">
        <v>48</v>
      </c>
    </row>
    <row r="14" spans="1:34" x14ac:dyDescent="0.25">
      <c r="AE14" s="9"/>
      <c r="AF14" s="10"/>
      <c r="AG14" s="10"/>
    </row>
    <row r="15" spans="1:34" x14ac:dyDescent="0.25">
      <c r="AE15" s="9"/>
      <c r="AF15" s="10"/>
      <c r="AG15" s="10"/>
    </row>
    <row r="16" spans="1:34" x14ac:dyDescent="0.25">
      <c r="AE16" s="9"/>
      <c r="AF16" s="10"/>
      <c r="AG16" s="10"/>
    </row>
    <row r="17" spans="31:33" x14ac:dyDescent="0.25">
      <c r="AE17" s="9"/>
      <c r="AF17" s="10"/>
      <c r="AG17" s="10"/>
    </row>
    <row r="18" spans="31:33" x14ac:dyDescent="0.25">
      <c r="AF18" s="10"/>
      <c r="AG18" s="10"/>
    </row>
    <row r="19" spans="31:33" x14ac:dyDescent="0.25">
      <c r="AF19" s="10"/>
      <c r="AG19" s="10"/>
    </row>
    <row r="20" spans="31:33" x14ac:dyDescent="0.25">
      <c r="AF20" s="10"/>
      <c r="AG20" s="10"/>
    </row>
  </sheetData>
  <mergeCells count="4">
    <mergeCell ref="S1:U1"/>
    <mergeCell ref="AE13:AE17"/>
    <mergeCell ref="AF13:AF20"/>
    <mergeCell ref="AG13:A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102C-D831-469C-801A-AAAC8A8D4C2A}">
  <dimension ref="A1:AH11"/>
  <sheetViews>
    <sheetView tabSelected="1" workbookViewId="0">
      <pane xSplit="7" topLeftCell="AE1" activePane="topRight" state="frozen"/>
      <selection pane="topRight" activeCell="E21" sqref="E21"/>
    </sheetView>
  </sheetViews>
  <sheetFormatPr defaultRowHeight="15" x14ac:dyDescent="0.25"/>
  <cols>
    <col min="1" max="1" width="12.140625" bestFit="1" customWidth="1"/>
    <col min="2" max="2" width="15.7109375" bestFit="1" customWidth="1"/>
    <col min="3" max="3" width="17.28515625" bestFit="1" customWidth="1"/>
    <col min="4" max="4" width="18.28515625" bestFit="1" customWidth="1"/>
    <col min="5" max="5" width="10.42578125" bestFit="1" customWidth="1"/>
    <col min="6" max="6" width="16.5703125" bestFit="1" customWidth="1"/>
    <col min="7" max="7" width="15.7109375" bestFit="1" customWidth="1"/>
    <col min="9" max="9" width="4.28515625" bestFit="1" customWidth="1"/>
    <col min="10" max="10" width="6.85546875" bestFit="1" customWidth="1"/>
    <col min="11" max="11" width="4.85546875" bestFit="1" customWidth="1"/>
    <col min="12" max="12" width="9.42578125" bestFit="1" customWidth="1"/>
    <col min="13" max="13" width="10.42578125" bestFit="1" customWidth="1"/>
    <col min="15" max="15" width="5.28515625" bestFit="1" customWidth="1"/>
    <col min="16" max="17" width="7.42578125" bestFit="1" customWidth="1"/>
    <col min="23" max="23" width="10.42578125" bestFit="1" customWidth="1"/>
    <col min="24" max="24" width="15.5703125" bestFit="1" customWidth="1"/>
    <col min="25" max="25" width="10.42578125" bestFit="1" customWidth="1"/>
    <col min="26" max="26" width="8" bestFit="1" customWidth="1"/>
    <col min="28" max="28" width="14.5703125" bestFit="1" customWidth="1"/>
    <col min="30" max="30" width="10.28515625" bestFit="1" customWidth="1"/>
    <col min="31" max="31" width="10.42578125" bestFit="1" customWidth="1"/>
    <col min="32" max="32" width="13.28515625" bestFit="1" customWidth="1"/>
    <col min="33" max="33" width="19.28515625" bestFit="1" customWidth="1"/>
    <col min="34" max="34" width="31.85546875" bestFit="1" customWidth="1"/>
  </cols>
  <sheetData>
    <row r="1" spans="1:3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O1" s="3" t="s">
        <v>32</v>
      </c>
      <c r="P1" s="3" t="s">
        <v>33</v>
      </c>
      <c r="Q1" s="3" t="s">
        <v>34</v>
      </c>
      <c r="S1" s="8" t="s">
        <v>35</v>
      </c>
      <c r="T1" s="8"/>
      <c r="U1" s="8"/>
      <c r="W1" s="3" t="s">
        <v>36</v>
      </c>
      <c r="X1" s="3" t="s">
        <v>37</v>
      </c>
      <c r="Y1" s="3" t="s">
        <v>38</v>
      </c>
      <c r="Z1" s="3" t="s">
        <v>39</v>
      </c>
      <c r="AB1" s="3" t="s">
        <v>40</v>
      </c>
      <c r="AD1" s="7" t="s">
        <v>41</v>
      </c>
      <c r="AE1" s="7" t="s">
        <v>42</v>
      </c>
      <c r="AF1" s="3" t="s">
        <v>44</v>
      </c>
      <c r="AG1" s="3" t="s">
        <v>46</v>
      </c>
      <c r="AH1" s="3" t="s">
        <v>47</v>
      </c>
    </row>
    <row r="2" spans="1:34" x14ac:dyDescent="0.25">
      <c r="A2" t="s">
        <v>7</v>
      </c>
      <c r="B2" t="s">
        <v>8</v>
      </c>
      <c r="C2" s="1">
        <v>46244.354166666657</v>
      </c>
      <c r="D2" s="1">
        <v>46244.71875</v>
      </c>
      <c r="E2" s="2">
        <v>33709</v>
      </c>
      <c r="F2" s="2">
        <v>46037</v>
      </c>
      <c r="G2" s="2">
        <v>46234</v>
      </c>
      <c r="I2">
        <f>DAY(E2)</f>
        <v>15</v>
      </c>
      <c r="J2">
        <f>MONTH(E2)</f>
        <v>4</v>
      </c>
      <c r="K2">
        <f>YEAR(E2)</f>
        <v>1992</v>
      </c>
      <c r="L2">
        <f>WEEKDAY(E2,2)</f>
        <v>3</v>
      </c>
      <c r="M2">
        <f>WEEKNUM(E2,1)</f>
        <v>16</v>
      </c>
      <c r="O2">
        <f>HOUR(C2)</f>
        <v>8</v>
      </c>
      <c r="P2">
        <f>MINUTE(C2)</f>
        <v>30</v>
      </c>
      <c r="Q2">
        <f>SECOND(C2)</f>
        <v>0</v>
      </c>
      <c r="S2" t="str">
        <f>TEXT(E2,"ddd")</f>
        <v>Wed</v>
      </c>
      <c r="T2" t="str">
        <f>TEXT(E2,"mmm")</f>
        <v>Apr</v>
      </c>
      <c r="U2" t="str">
        <f>TEXT(E2,"yyyy")</f>
        <v>1992</v>
      </c>
      <c r="W2" s="4">
        <f ca="1">TODAY()</f>
        <v>46251</v>
      </c>
      <c r="X2" s="5">
        <f ca="1">NOW()</f>
        <v>46251.522092939813</v>
      </c>
      <c r="Y2" s="4">
        <f>DATE(2026,3,11)</f>
        <v>46092</v>
      </c>
      <c r="Z2" s="6">
        <f>TIME(8,12,34)</f>
        <v>0.34206018518518516</v>
      </c>
      <c r="AB2">
        <f>DATEDIF(F2,G2,"d")</f>
        <v>197</v>
      </c>
      <c r="AD2" s="4">
        <f>EOMONTH(F2,0)</f>
        <v>46053</v>
      </c>
      <c r="AE2" s="4">
        <f>WORKDAY(F2,26)</f>
        <v>46073</v>
      </c>
      <c r="AF2">
        <f>NETWORKDAYS(F2,G2)</f>
        <v>142</v>
      </c>
      <c r="AG2">
        <f>NETWORKDAYS.INTL(F2,G2,11)</f>
        <v>170</v>
      </c>
      <c r="AH2" cm="1">
        <f t="array" ref="AH2">NETWORKDAYS(F2,G2,DATEVALUE({"2026-03-22","2026-04-1"}))</f>
        <v>141</v>
      </c>
    </row>
    <row r="3" spans="1:34" x14ac:dyDescent="0.25">
      <c r="A3" t="s">
        <v>9</v>
      </c>
      <c r="B3" t="s">
        <v>10</v>
      </c>
      <c r="C3" s="1">
        <v>46244.378472222219</v>
      </c>
      <c r="D3" s="1">
        <v>46244.75</v>
      </c>
      <c r="E3" s="2">
        <v>32470</v>
      </c>
      <c r="F3" s="2">
        <v>45809</v>
      </c>
      <c r="G3" s="2">
        <v>46173</v>
      </c>
      <c r="I3">
        <f t="shared" ref="I3:I11" si="0">DAY(E3)</f>
        <v>23</v>
      </c>
      <c r="J3">
        <f t="shared" ref="J3:J11" si="1">MONTH(E3)</f>
        <v>11</v>
      </c>
      <c r="K3">
        <f t="shared" ref="K3:K11" si="2">YEAR(E3)</f>
        <v>1988</v>
      </c>
      <c r="L3">
        <f t="shared" ref="L3:L11" si="3">WEEKDAY(E3,2)</f>
        <v>3</v>
      </c>
      <c r="M3">
        <f t="shared" ref="M3:M11" si="4">WEEKNUM(E3,1)</f>
        <v>48</v>
      </c>
      <c r="O3">
        <f t="shared" ref="O3:O11" si="5">HOUR(C3)</f>
        <v>9</v>
      </c>
      <c r="P3">
        <f t="shared" ref="P3:P11" si="6">MINUTE(C3)</f>
        <v>5</v>
      </c>
      <c r="Q3">
        <f t="shared" ref="Q3:Q11" si="7">SECOND(C3)</f>
        <v>0</v>
      </c>
      <c r="S3" t="str">
        <f t="shared" ref="S3:S11" si="8">TEXT(E3,"ddd")</f>
        <v>Wed</v>
      </c>
      <c r="T3" t="str">
        <f t="shared" ref="T3:T11" si="9">TEXT(E3,"mmm")</f>
        <v>Nov</v>
      </c>
      <c r="U3" t="str">
        <f t="shared" ref="U3:U11" si="10">TEXT(E3,"yyyy")</f>
        <v>1988</v>
      </c>
      <c r="W3" s="4">
        <f t="shared" ref="W3:W11" ca="1" si="11">TODAY()</f>
        <v>46251</v>
      </c>
      <c r="X3" s="5">
        <f t="shared" ref="X3:X11" ca="1" si="12">NOW()</f>
        <v>46251.522092939813</v>
      </c>
      <c r="Y3" s="4">
        <f t="shared" ref="Y3:Y11" si="13">DATE(2026,3,11)</f>
        <v>46092</v>
      </c>
      <c r="Z3" s="6">
        <f t="shared" ref="Z3:Z11" si="14">TIME(8,12,34)</f>
        <v>0.34206018518518516</v>
      </c>
      <c r="AB3">
        <f t="shared" ref="AB3:AB11" si="15">DATEDIF(F3,G3,"d")</f>
        <v>364</v>
      </c>
      <c r="AD3" s="4">
        <f t="shared" ref="AD3:AD11" si="16">EOMONTH(F3,0)</f>
        <v>45838</v>
      </c>
      <c r="AE3" s="4">
        <f t="shared" ref="AE3:AE11" si="17">WORKDAY(F3,26)</f>
        <v>45845</v>
      </c>
      <c r="AF3">
        <f t="shared" ref="AF3:AF11" si="18">NETWORKDAYS(F3,G3)</f>
        <v>260</v>
      </c>
      <c r="AG3">
        <f t="shared" ref="AG3:AG11" si="19">NETWORKDAYS.INTL(F3,G3,11)</f>
        <v>312</v>
      </c>
      <c r="AH3" cm="1">
        <f t="array" ref="AH3">NETWORKDAYS(F3,G3,DATEVALUE({"2026-03-22","2026-04-1"}))</f>
        <v>259</v>
      </c>
    </row>
    <row r="4" spans="1:34" x14ac:dyDescent="0.25">
      <c r="A4" t="s">
        <v>11</v>
      </c>
      <c r="B4" t="s">
        <v>12</v>
      </c>
      <c r="C4" s="1">
        <v>46244.364583333336</v>
      </c>
      <c r="D4" s="1">
        <v>46244.6875</v>
      </c>
      <c r="E4" s="2">
        <v>34740</v>
      </c>
      <c r="F4" s="2">
        <v>46082</v>
      </c>
      <c r="G4" s="2">
        <v>46249</v>
      </c>
      <c r="I4">
        <f t="shared" si="0"/>
        <v>10</v>
      </c>
      <c r="J4">
        <f t="shared" si="1"/>
        <v>2</v>
      </c>
      <c r="K4">
        <f t="shared" si="2"/>
        <v>1995</v>
      </c>
      <c r="L4">
        <f t="shared" si="3"/>
        <v>5</v>
      </c>
      <c r="M4">
        <f t="shared" si="4"/>
        <v>6</v>
      </c>
      <c r="O4">
        <f t="shared" si="5"/>
        <v>8</v>
      </c>
      <c r="P4">
        <f t="shared" si="6"/>
        <v>45</v>
      </c>
      <c r="Q4">
        <f t="shared" si="7"/>
        <v>0</v>
      </c>
      <c r="S4" t="str">
        <f t="shared" si="8"/>
        <v>Fri</v>
      </c>
      <c r="T4" t="str">
        <f t="shared" si="9"/>
        <v>Feb</v>
      </c>
      <c r="U4" t="str">
        <f t="shared" si="10"/>
        <v>1995</v>
      </c>
      <c r="W4" s="4">
        <f t="shared" ca="1" si="11"/>
        <v>46251</v>
      </c>
      <c r="X4" s="5">
        <f t="shared" ca="1" si="12"/>
        <v>46251.522092939813</v>
      </c>
      <c r="Y4" s="4">
        <f t="shared" si="13"/>
        <v>46092</v>
      </c>
      <c r="Z4" s="6">
        <f t="shared" si="14"/>
        <v>0.34206018518518516</v>
      </c>
      <c r="AB4">
        <f t="shared" si="15"/>
        <v>167</v>
      </c>
      <c r="AD4" s="4">
        <f t="shared" si="16"/>
        <v>46112</v>
      </c>
      <c r="AE4" s="4">
        <f t="shared" si="17"/>
        <v>46118</v>
      </c>
      <c r="AF4">
        <f t="shared" si="18"/>
        <v>120</v>
      </c>
      <c r="AG4">
        <f t="shared" si="19"/>
        <v>144</v>
      </c>
      <c r="AH4" cm="1">
        <f t="array" ref="AH4">NETWORKDAYS(F4,G4,DATEVALUE({"2026-03-22","2026-04-1"}))</f>
        <v>119</v>
      </c>
    </row>
    <row r="5" spans="1:34" x14ac:dyDescent="0.25">
      <c r="A5" t="s">
        <v>13</v>
      </c>
      <c r="B5" t="s">
        <v>14</v>
      </c>
      <c r="C5" s="1">
        <v>46244.375</v>
      </c>
      <c r="D5" s="1">
        <v>46244.739583333343</v>
      </c>
      <c r="E5" s="2">
        <v>36715</v>
      </c>
      <c r="F5" s="2">
        <v>46063</v>
      </c>
      <c r="G5" s="2">
        <v>46356</v>
      </c>
      <c r="I5">
        <f t="shared" si="0"/>
        <v>8</v>
      </c>
      <c r="J5">
        <f t="shared" si="1"/>
        <v>7</v>
      </c>
      <c r="K5">
        <f t="shared" si="2"/>
        <v>2000</v>
      </c>
      <c r="L5">
        <f t="shared" si="3"/>
        <v>6</v>
      </c>
      <c r="M5">
        <f t="shared" si="4"/>
        <v>28</v>
      </c>
      <c r="O5">
        <f t="shared" si="5"/>
        <v>9</v>
      </c>
      <c r="P5">
        <f t="shared" si="6"/>
        <v>0</v>
      </c>
      <c r="Q5">
        <f t="shared" si="7"/>
        <v>0</v>
      </c>
      <c r="S5" t="str">
        <f t="shared" si="8"/>
        <v>Sat</v>
      </c>
      <c r="T5" t="str">
        <f t="shared" si="9"/>
        <v>Jul</v>
      </c>
      <c r="U5" t="str">
        <f t="shared" si="10"/>
        <v>2000</v>
      </c>
      <c r="W5" s="4">
        <f t="shared" ca="1" si="11"/>
        <v>46251</v>
      </c>
      <c r="X5" s="5">
        <f t="shared" ca="1" si="12"/>
        <v>46251.522092939813</v>
      </c>
      <c r="Y5" s="4">
        <f t="shared" si="13"/>
        <v>46092</v>
      </c>
      <c r="Z5" s="6">
        <f t="shared" si="14"/>
        <v>0.34206018518518516</v>
      </c>
      <c r="AB5">
        <f t="shared" si="15"/>
        <v>293</v>
      </c>
      <c r="AD5" s="4">
        <f t="shared" si="16"/>
        <v>46081</v>
      </c>
      <c r="AE5" s="4">
        <f t="shared" si="17"/>
        <v>46099</v>
      </c>
      <c r="AF5">
        <f t="shared" si="18"/>
        <v>210</v>
      </c>
      <c r="AG5">
        <f t="shared" si="19"/>
        <v>252</v>
      </c>
      <c r="AH5" cm="1">
        <f t="array" ref="AH5">NETWORKDAYS(F5,G5,DATEVALUE({"2026-03-22","2026-04-1"}))</f>
        <v>209</v>
      </c>
    </row>
    <row r="6" spans="1:34" x14ac:dyDescent="0.25">
      <c r="A6" t="s">
        <v>15</v>
      </c>
      <c r="B6" t="s">
        <v>16</v>
      </c>
      <c r="C6" s="1">
        <v>46244.34375</v>
      </c>
      <c r="D6" s="1">
        <v>46244.770833333343</v>
      </c>
      <c r="E6" s="2">
        <v>31320</v>
      </c>
      <c r="F6" s="2">
        <v>45566</v>
      </c>
      <c r="G6" s="2">
        <v>46112</v>
      </c>
      <c r="I6">
        <f t="shared" si="0"/>
        <v>30</v>
      </c>
      <c r="J6">
        <f t="shared" si="1"/>
        <v>9</v>
      </c>
      <c r="K6">
        <f t="shared" si="2"/>
        <v>1985</v>
      </c>
      <c r="L6">
        <f t="shared" si="3"/>
        <v>1</v>
      </c>
      <c r="M6">
        <f t="shared" si="4"/>
        <v>40</v>
      </c>
      <c r="O6">
        <f t="shared" si="5"/>
        <v>8</v>
      </c>
      <c r="P6">
        <f t="shared" si="6"/>
        <v>15</v>
      </c>
      <c r="Q6">
        <f t="shared" si="7"/>
        <v>0</v>
      </c>
      <c r="S6" t="str">
        <f t="shared" si="8"/>
        <v>Mon</v>
      </c>
      <c r="T6" t="str">
        <f t="shared" si="9"/>
        <v>Sep</v>
      </c>
      <c r="U6" t="str">
        <f t="shared" si="10"/>
        <v>1985</v>
      </c>
      <c r="W6" s="4">
        <f t="shared" ca="1" si="11"/>
        <v>46251</v>
      </c>
      <c r="X6" s="5">
        <f t="shared" ca="1" si="12"/>
        <v>46251.522092939813</v>
      </c>
      <c r="Y6" s="4">
        <f t="shared" si="13"/>
        <v>46092</v>
      </c>
      <c r="Z6" s="6">
        <f t="shared" si="14"/>
        <v>0.34206018518518516</v>
      </c>
      <c r="AB6">
        <f t="shared" si="15"/>
        <v>546</v>
      </c>
      <c r="AD6" s="4">
        <f t="shared" si="16"/>
        <v>45596</v>
      </c>
      <c r="AE6" s="4">
        <f t="shared" si="17"/>
        <v>45602</v>
      </c>
      <c r="AF6">
        <f t="shared" si="18"/>
        <v>391</v>
      </c>
      <c r="AG6">
        <f t="shared" si="19"/>
        <v>469</v>
      </c>
      <c r="AH6" cm="1">
        <f t="array" ref="AH6">NETWORKDAYS(F6,G6,DATEVALUE({"2026-03-22","2026-04-1"}))</f>
        <v>391</v>
      </c>
    </row>
    <row r="7" spans="1:34" x14ac:dyDescent="0.25">
      <c r="A7" t="s">
        <v>17</v>
      </c>
      <c r="B7" t="s">
        <v>18</v>
      </c>
      <c r="C7" s="1">
        <v>46244.395833333343</v>
      </c>
      <c r="D7" s="1">
        <v>46244.708333333343</v>
      </c>
      <c r="E7" s="2">
        <v>36134</v>
      </c>
      <c r="F7" s="2">
        <v>46157</v>
      </c>
      <c r="G7" s="2">
        <v>46371</v>
      </c>
      <c r="I7">
        <f t="shared" si="0"/>
        <v>5</v>
      </c>
      <c r="J7">
        <f t="shared" si="1"/>
        <v>12</v>
      </c>
      <c r="K7">
        <f t="shared" si="2"/>
        <v>1998</v>
      </c>
      <c r="L7">
        <f t="shared" si="3"/>
        <v>6</v>
      </c>
      <c r="M7">
        <f t="shared" si="4"/>
        <v>49</v>
      </c>
      <c r="O7">
        <f t="shared" si="5"/>
        <v>9</v>
      </c>
      <c r="P7">
        <f t="shared" si="6"/>
        <v>30</v>
      </c>
      <c r="Q7">
        <f t="shared" si="7"/>
        <v>0</v>
      </c>
      <c r="S7" t="str">
        <f t="shared" si="8"/>
        <v>Sat</v>
      </c>
      <c r="T7" t="str">
        <f t="shared" si="9"/>
        <v>Dec</v>
      </c>
      <c r="U7" t="str">
        <f t="shared" si="10"/>
        <v>1998</v>
      </c>
      <c r="W7" s="4">
        <f t="shared" ca="1" si="11"/>
        <v>46251</v>
      </c>
      <c r="X7" s="5">
        <f t="shared" ca="1" si="12"/>
        <v>46251.522092939813</v>
      </c>
      <c r="Y7" s="4">
        <f t="shared" si="13"/>
        <v>46092</v>
      </c>
      <c r="Z7" s="6">
        <f t="shared" si="14"/>
        <v>0.34206018518518516</v>
      </c>
      <c r="AB7">
        <f t="shared" si="15"/>
        <v>214</v>
      </c>
      <c r="AD7" s="4">
        <f t="shared" si="16"/>
        <v>46173</v>
      </c>
      <c r="AE7" s="4">
        <f t="shared" si="17"/>
        <v>46195</v>
      </c>
      <c r="AF7">
        <f t="shared" si="18"/>
        <v>153</v>
      </c>
      <c r="AG7">
        <f t="shared" si="19"/>
        <v>184</v>
      </c>
      <c r="AH7" cm="1">
        <f t="array" ref="AH7">NETWORKDAYS(F7,G7,DATEVALUE({"2026-03-22","2026-04-1"}))</f>
        <v>153</v>
      </c>
    </row>
    <row r="8" spans="1:34" x14ac:dyDescent="0.25">
      <c r="A8" t="s">
        <v>19</v>
      </c>
      <c r="B8" t="s">
        <v>20</v>
      </c>
      <c r="C8" s="1">
        <v>46244.333333333343</v>
      </c>
      <c r="D8" s="1">
        <v>46244.697916666657</v>
      </c>
      <c r="E8" s="2">
        <v>33314</v>
      </c>
      <c r="F8" s="2">
        <v>45962</v>
      </c>
      <c r="G8" s="2">
        <v>46142</v>
      </c>
      <c r="I8">
        <f t="shared" si="0"/>
        <v>17</v>
      </c>
      <c r="J8">
        <f t="shared" si="1"/>
        <v>3</v>
      </c>
      <c r="K8">
        <f t="shared" si="2"/>
        <v>1991</v>
      </c>
      <c r="L8">
        <f t="shared" si="3"/>
        <v>7</v>
      </c>
      <c r="M8">
        <f t="shared" si="4"/>
        <v>12</v>
      </c>
      <c r="O8">
        <f t="shared" si="5"/>
        <v>8</v>
      </c>
      <c r="P8">
        <f t="shared" si="6"/>
        <v>0</v>
      </c>
      <c r="Q8">
        <f t="shared" si="7"/>
        <v>0</v>
      </c>
      <c r="S8" t="str">
        <f t="shared" si="8"/>
        <v>Sun</v>
      </c>
      <c r="T8" t="str">
        <f t="shared" si="9"/>
        <v>Mar</v>
      </c>
      <c r="U8" t="str">
        <f t="shared" si="10"/>
        <v>1991</v>
      </c>
      <c r="W8" s="4">
        <f t="shared" ca="1" si="11"/>
        <v>46251</v>
      </c>
      <c r="X8" s="5">
        <f t="shared" ca="1" si="12"/>
        <v>46251.522092939813</v>
      </c>
      <c r="Y8" s="4">
        <f t="shared" si="13"/>
        <v>46092</v>
      </c>
      <c r="Z8" s="6">
        <f t="shared" si="14"/>
        <v>0.34206018518518516</v>
      </c>
      <c r="AB8">
        <f t="shared" si="15"/>
        <v>180</v>
      </c>
      <c r="AD8" s="4">
        <f t="shared" si="16"/>
        <v>45991</v>
      </c>
      <c r="AE8" s="4">
        <f t="shared" si="17"/>
        <v>45999</v>
      </c>
      <c r="AF8">
        <f t="shared" si="18"/>
        <v>129</v>
      </c>
      <c r="AG8">
        <f t="shared" si="19"/>
        <v>155</v>
      </c>
      <c r="AH8" cm="1">
        <f t="array" ref="AH8">NETWORKDAYS(F8,G8,DATEVALUE({"2026-03-22","2026-04-1"}))</f>
        <v>128</v>
      </c>
    </row>
    <row r="9" spans="1:34" x14ac:dyDescent="0.25">
      <c r="A9" t="s">
        <v>21</v>
      </c>
      <c r="B9" t="s">
        <v>22</v>
      </c>
      <c r="C9" s="1">
        <v>46244.385416666657</v>
      </c>
      <c r="D9" s="1">
        <v>46244.760416666657</v>
      </c>
      <c r="E9" s="2">
        <v>34506</v>
      </c>
      <c r="F9" s="2">
        <v>46113</v>
      </c>
      <c r="G9" s="2">
        <v>46295</v>
      </c>
      <c r="I9">
        <f t="shared" si="0"/>
        <v>21</v>
      </c>
      <c r="J9">
        <f t="shared" si="1"/>
        <v>6</v>
      </c>
      <c r="K9">
        <f t="shared" si="2"/>
        <v>1994</v>
      </c>
      <c r="L9">
        <f t="shared" si="3"/>
        <v>2</v>
      </c>
      <c r="M9">
        <f t="shared" si="4"/>
        <v>26</v>
      </c>
      <c r="O9">
        <f t="shared" si="5"/>
        <v>9</v>
      </c>
      <c r="P9">
        <f t="shared" si="6"/>
        <v>15</v>
      </c>
      <c r="Q9">
        <f t="shared" si="7"/>
        <v>0</v>
      </c>
      <c r="S9" t="str">
        <f t="shared" si="8"/>
        <v>Tue</v>
      </c>
      <c r="T9" t="str">
        <f t="shared" si="9"/>
        <v>Jun</v>
      </c>
      <c r="U9" t="str">
        <f t="shared" si="10"/>
        <v>1994</v>
      </c>
      <c r="W9" s="4">
        <f t="shared" ca="1" si="11"/>
        <v>46251</v>
      </c>
      <c r="X9" s="5">
        <f t="shared" ca="1" si="12"/>
        <v>46251.522092939813</v>
      </c>
      <c r="Y9" s="4">
        <f t="shared" si="13"/>
        <v>46092</v>
      </c>
      <c r="Z9" s="6">
        <f t="shared" si="14"/>
        <v>0.34206018518518516</v>
      </c>
      <c r="AB9">
        <f t="shared" si="15"/>
        <v>182</v>
      </c>
      <c r="AD9" s="4">
        <f t="shared" si="16"/>
        <v>46142</v>
      </c>
      <c r="AE9" s="4">
        <f t="shared" si="17"/>
        <v>46149</v>
      </c>
      <c r="AF9">
        <f t="shared" si="18"/>
        <v>131</v>
      </c>
      <c r="AG9">
        <f t="shared" si="19"/>
        <v>157</v>
      </c>
      <c r="AH9" cm="1">
        <f t="array" ref="AH9">NETWORKDAYS(F9,G9,DATEVALUE({"2026-03-22","2026-04-1"}))</f>
        <v>130</v>
      </c>
    </row>
    <row r="10" spans="1:34" x14ac:dyDescent="0.25">
      <c r="A10" t="s">
        <v>23</v>
      </c>
      <c r="B10" t="s">
        <v>24</v>
      </c>
      <c r="C10" s="1">
        <v>46244.368055555547</v>
      </c>
      <c r="D10" s="1">
        <v>46244.729166666657</v>
      </c>
      <c r="E10" s="2">
        <v>32522</v>
      </c>
      <c r="F10" s="2">
        <v>45884</v>
      </c>
      <c r="G10" s="2">
        <v>46081</v>
      </c>
      <c r="I10">
        <f t="shared" si="0"/>
        <v>14</v>
      </c>
      <c r="J10">
        <f t="shared" si="1"/>
        <v>1</v>
      </c>
      <c r="K10">
        <f t="shared" si="2"/>
        <v>1989</v>
      </c>
      <c r="L10">
        <f t="shared" si="3"/>
        <v>6</v>
      </c>
      <c r="M10">
        <f t="shared" si="4"/>
        <v>2</v>
      </c>
      <c r="O10">
        <f t="shared" si="5"/>
        <v>8</v>
      </c>
      <c r="P10">
        <f t="shared" si="6"/>
        <v>50</v>
      </c>
      <c r="Q10">
        <f t="shared" si="7"/>
        <v>0</v>
      </c>
      <c r="S10" t="str">
        <f t="shared" si="8"/>
        <v>Sat</v>
      </c>
      <c r="T10" t="str">
        <f t="shared" si="9"/>
        <v>Jan</v>
      </c>
      <c r="U10" t="str">
        <f t="shared" si="10"/>
        <v>1989</v>
      </c>
      <c r="W10" s="4">
        <f t="shared" ca="1" si="11"/>
        <v>46251</v>
      </c>
      <c r="X10" s="5">
        <f t="shared" ca="1" si="12"/>
        <v>46251.522092939813</v>
      </c>
      <c r="Y10" s="4">
        <f t="shared" si="13"/>
        <v>46092</v>
      </c>
      <c r="Z10" s="6">
        <f t="shared" si="14"/>
        <v>0.34206018518518516</v>
      </c>
      <c r="AB10">
        <f t="shared" si="15"/>
        <v>197</v>
      </c>
      <c r="AD10" s="4">
        <f t="shared" si="16"/>
        <v>45900</v>
      </c>
      <c r="AE10" s="4">
        <f t="shared" si="17"/>
        <v>45922</v>
      </c>
      <c r="AF10">
        <f t="shared" si="18"/>
        <v>141</v>
      </c>
      <c r="AG10">
        <f t="shared" si="19"/>
        <v>170</v>
      </c>
      <c r="AH10" cm="1">
        <f t="array" ref="AH10">NETWORKDAYS(F10,G10,DATEVALUE({"2026-03-22","2026-04-1"}))</f>
        <v>141</v>
      </c>
    </row>
    <row r="11" spans="1:34" x14ac:dyDescent="0.25">
      <c r="A11" t="s">
        <v>25</v>
      </c>
      <c r="B11" t="s">
        <v>26</v>
      </c>
      <c r="C11" s="1">
        <v>46244.381944444453</v>
      </c>
      <c r="D11" s="1">
        <v>46244.711805555547</v>
      </c>
      <c r="E11" s="2">
        <v>37193</v>
      </c>
      <c r="F11" s="2">
        <v>46204</v>
      </c>
      <c r="G11" s="2">
        <v>46418</v>
      </c>
      <c r="I11">
        <f t="shared" si="0"/>
        <v>29</v>
      </c>
      <c r="J11">
        <f t="shared" si="1"/>
        <v>10</v>
      </c>
      <c r="K11">
        <f t="shared" si="2"/>
        <v>2001</v>
      </c>
      <c r="L11">
        <f t="shared" si="3"/>
        <v>1</v>
      </c>
      <c r="M11">
        <f t="shared" si="4"/>
        <v>44</v>
      </c>
      <c r="O11">
        <f t="shared" si="5"/>
        <v>9</v>
      </c>
      <c r="P11">
        <f t="shared" si="6"/>
        <v>10</v>
      </c>
      <c r="Q11">
        <f t="shared" si="7"/>
        <v>0</v>
      </c>
      <c r="S11" t="str">
        <f t="shared" si="8"/>
        <v>Mon</v>
      </c>
      <c r="T11" t="str">
        <f t="shared" si="9"/>
        <v>Oct</v>
      </c>
      <c r="U11" t="str">
        <f t="shared" si="10"/>
        <v>2001</v>
      </c>
      <c r="W11" s="4">
        <f t="shared" ca="1" si="11"/>
        <v>46251</v>
      </c>
      <c r="X11" s="5">
        <f t="shared" ca="1" si="12"/>
        <v>46251.522092939813</v>
      </c>
      <c r="Y11" s="4">
        <f t="shared" si="13"/>
        <v>46092</v>
      </c>
      <c r="Z11" s="6">
        <f t="shared" si="14"/>
        <v>0.34206018518518516</v>
      </c>
      <c r="AB11">
        <f t="shared" si="15"/>
        <v>214</v>
      </c>
      <c r="AD11" s="4">
        <f t="shared" si="16"/>
        <v>46234</v>
      </c>
      <c r="AE11" s="4">
        <f t="shared" si="17"/>
        <v>46240</v>
      </c>
      <c r="AF11">
        <f t="shared" si="18"/>
        <v>153</v>
      </c>
      <c r="AG11">
        <f t="shared" si="19"/>
        <v>184</v>
      </c>
      <c r="AH11" cm="1">
        <f t="array" ref="AH11">NETWORKDAYS(F11,G11,DATEVALUE({"2026-03-22","2026-04-1"}))</f>
        <v>153</v>
      </c>
    </row>
  </sheetData>
  <mergeCells count="1">
    <mergeCell ref="S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Practice Data</vt:lpstr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ASDC128</cp:lastModifiedBy>
  <dcterms:created xsi:type="dcterms:W3CDTF">2026-08-16T17:14:11Z</dcterms:created>
  <dcterms:modified xsi:type="dcterms:W3CDTF">2026-08-17T07:01:49Z</dcterms:modified>
</cp:coreProperties>
</file>