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workbookProtection workbookPassword="CF7A" lockStructure="1"/>
  <bookViews>
    <workbookView xWindow="-120" yWindow="-120" windowWidth="19420" windowHeight="11040" activeTab="3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" sheetId="6" r:id="rId6"/>
  </sheets>
  <definedNames>
    <definedName name="_xlnm._FilterDatabase" localSheetId="5" hidden="1">Answer!$A$267:$B$273</definedName>
  </definedNames>
  <calcPr calcId="144525"/>
  <pivotCaches>
    <pivotCache cacheId="5" r:id="rId7"/>
    <pivotCache cacheId="8" r:id="rId8"/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90" i="6" l="1"/>
  <c r="B291" i="6"/>
  <c r="B292" i="6"/>
  <c r="B293" i="6"/>
  <c r="B294" i="6"/>
  <c r="B289" i="6"/>
  <c r="D278" i="6"/>
  <c r="B247" i="6"/>
  <c r="B248" i="6"/>
  <c r="B249" i="6"/>
  <c r="B250" i="6"/>
  <c r="B251" i="6"/>
  <c r="B246" i="6"/>
  <c r="C237" i="6"/>
  <c r="C238" i="6"/>
  <c r="C239" i="6"/>
  <c r="C240" i="6"/>
  <c r="C236" i="6"/>
  <c r="C227" i="6"/>
  <c r="D217" i="6"/>
  <c r="C150" i="6"/>
  <c r="C151" i="6"/>
  <c r="C152" i="6"/>
  <c r="C153" i="6"/>
  <c r="C149" i="6"/>
  <c r="C140" i="6"/>
  <c r="C131" i="6"/>
  <c r="E126" i="6"/>
  <c r="E123" i="6"/>
  <c r="E124" i="6"/>
  <c r="E125" i="6"/>
  <c r="E122" i="6"/>
  <c r="B117" i="6"/>
  <c r="B91" i="6" l="1"/>
  <c r="B92" i="6"/>
  <c r="B93" i="6"/>
  <c r="B94" i="6"/>
  <c r="B95" i="6"/>
  <c r="B90" i="6"/>
  <c r="D79" i="6"/>
  <c r="C79" i="6"/>
  <c r="B69" i="6"/>
  <c r="B70" i="6"/>
  <c r="B71" i="6"/>
  <c r="B72" i="6"/>
  <c r="B73" i="6"/>
  <c r="B74" i="6"/>
  <c r="C60" i="6"/>
  <c r="C61" i="6"/>
  <c r="C62" i="6"/>
  <c r="C59" i="6"/>
  <c r="D14" i="6"/>
  <c r="B41" i="6"/>
  <c r="B53" i="6"/>
  <c r="D26" i="6"/>
  <c r="D27" i="6"/>
  <c r="D28" i="6"/>
  <c r="D29" i="6"/>
  <c r="D30" i="6"/>
  <c r="D25" i="6"/>
  <c r="D15" i="6"/>
  <c r="D16" i="6"/>
  <c r="D17" i="6"/>
  <c r="D18" i="6"/>
  <c r="D19" i="6"/>
  <c r="D5" i="6" l="1"/>
  <c r="D6" i="6"/>
  <c r="D7" i="6"/>
  <c r="D8" i="6"/>
  <c r="D9" i="6"/>
  <c r="D4" i="6"/>
  <c r="J32" i="5" l="1"/>
</calcChain>
</file>

<file path=xl/sharedStrings.xml><?xml version="1.0" encoding="utf-8"?>
<sst xmlns="http://schemas.openxmlformats.org/spreadsheetml/2006/main" count="366" uniqueCount="132">
  <si>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</si>
  <si>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</si>
  <si>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</si>
  <si>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</si>
  <si>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</si>
  <si>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</si>
  <si>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</si>
  <si>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</si>
  <si>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</si>
  <si>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</si>
  <si>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</si>
  <si>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</si>
  <si>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</si>
  <si>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</si>
  <si>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</si>
  <si>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</si>
  <si>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</si>
  <si>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</si>
  <si>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</si>
  <si>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</si>
  <si>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</si>
  <si>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</si>
  <si>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</si>
  <si>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</si>
  <si>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</si>
  <si>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</si>
  <si>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</si>
  <si>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</si>
  <si>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</si>
  <si>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</si>
  <si>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</si>
  <si>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</si>
  <si>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</si>
  <si>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</si>
  <si>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</si>
  <si>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</si>
  <si>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</si>
  <si>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</si>
  <si>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</si>
  <si>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</si>
  <si>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</si>
  <si>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</si>
  <si>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</si>
  <si>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</si>
  <si>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</si>
  <si>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</si>
  <si>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</si>
  <si>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</si>
  <si>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</si>
  <si>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</si>
  <si>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</si>
  <si>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</si>
  <si>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</si>
  <si>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</si>
  <si>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</si>
  <si>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</si>
  <si>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</si>
  <si>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</si>
  <si>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</si>
  <si>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</si>
  <si>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</si>
  <si>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</si>
  <si>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</si>
  <si>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</si>
  <si>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</si>
  <si>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</si>
  <si>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</si>
  <si>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</si>
  <si>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</si>
  <si>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</si>
  <si>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</si>
  <si>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</si>
  <si>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</si>
  <si>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Q.1</t>
  </si>
  <si>
    <t>Total sale</t>
  </si>
  <si>
    <t>Q.2</t>
  </si>
  <si>
    <t>GST</t>
  </si>
  <si>
    <t>Q.3</t>
  </si>
  <si>
    <t>Total paybel</t>
  </si>
  <si>
    <t>Q.4</t>
  </si>
  <si>
    <t>Total order</t>
  </si>
  <si>
    <t>Q.5</t>
  </si>
  <si>
    <t>Grand Amt</t>
  </si>
  <si>
    <t>Q.6</t>
  </si>
  <si>
    <t>region-wise</t>
  </si>
  <si>
    <t>Q.7</t>
  </si>
  <si>
    <t>high or low than 3</t>
  </si>
  <si>
    <t>Q.8</t>
  </si>
  <si>
    <t>maximum</t>
  </si>
  <si>
    <t>minimum</t>
  </si>
  <si>
    <t>Q.9</t>
  </si>
  <si>
    <t>Month</t>
  </si>
  <si>
    <t>Q.10</t>
  </si>
  <si>
    <t>Total sale Desend</t>
  </si>
  <si>
    <t>Q.11</t>
  </si>
  <si>
    <t>Q.12</t>
  </si>
  <si>
    <t>Avrage</t>
  </si>
  <si>
    <t>Q.13</t>
  </si>
  <si>
    <t>Topper</t>
  </si>
  <si>
    <t>Q.14</t>
  </si>
  <si>
    <t>above&gt;90</t>
  </si>
  <si>
    <t>Q.15</t>
  </si>
  <si>
    <t>eligible ot not</t>
  </si>
  <si>
    <t>Q.16</t>
  </si>
  <si>
    <t>product vise total sale</t>
  </si>
  <si>
    <t>Row Labels</t>
  </si>
  <si>
    <t>Grand Total</t>
  </si>
  <si>
    <t>Sum of Total sale</t>
  </si>
  <si>
    <t>Q.17</t>
  </si>
  <si>
    <t>Q.18</t>
  </si>
  <si>
    <t>Q.19</t>
  </si>
  <si>
    <t>Sum of Excel</t>
  </si>
  <si>
    <t>Q.20</t>
  </si>
  <si>
    <t>median</t>
  </si>
  <si>
    <t>assendinh</t>
  </si>
  <si>
    <t>Q.21</t>
  </si>
  <si>
    <t>S.D</t>
  </si>
  <si>
    <t>Q.22</t>
  </si>
  <si>
    <t>Concate</t>
  </si>
  <si>
    <t>Q.23</t>
  </si>
  <si>
    <t>2 Letter</t>
  </si>
  <si>
    <t>Q.24</t>
  </si>
  <si>
    <t>Q.25</t>
  </si>
  <si>
    <t>Q.26</t>
  </si>
  <si>
    <t>Answer</t>
  </si>
  <si>
    <t>Q.27</t>
  </si>
  <si>
    <t>Round</t>
  </si>
  <si>
    <t>Q.28</t>
  </si>
  <si>
    <t>Q.29</t>
  </si>
  <si>
    <t>Q.30</t>
  </si>
  <si>
    <t>Freeze added in Sale Data</t>
  </si>
  <si>
    <t>Student Table is Protected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</si>
</sst>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[MS_Excel_Practical_Exam_Medium_Level_dhananjay.xlsx]Answer!PivotTable3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Answer!$E$175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Answer!$D$176:$D$180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Answer!$E$176:$E$180</c:f>
              <c:numCache>
                <c:formatCode>General</c:formatCode>
                <c:ptCount val="4"/>
                <c:pt idx="0">
                  <c:v>54000</c:v>
                </c:pt>
                <c:pt idx="1">
                  <c:v>150000</c:v>
                </c:pt>
                <c:pt idx="2">
                  <c:v>165000</c:v>
                </c:pt>
                <c:pt idx="3">
                  <c:v>45000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[MS_Excel_Practical_Exam_Medium_Level_dhananjay.xlsx]Answer!PivotTable2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Answer!$E$159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Answer!$D$160:$D$163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Answer!$E$160:$E$163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480576"/>
        <c:axId val="129830912"/>
      </c:barChart>
      <c:catAx>
        <c:axId val="129480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29830912"/>
        <c:crosses val="autoZero"/>
        <c:auto val="1"/>
        <c:lblAlgn val="ctr"/>
        <c:lblOffset val="100"/>
        <c:noMultiLvlLbl val="0"/>
      </c:catAx>
      <c:valAx>
        <c:axId val="12983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948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[MS_Excel_Practical_Exam_Medium_Level_dhananjay.xlsx]Answer!PivotTable4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Answer!$E$202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Answer!$D$203:$D$208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Answer!$E$203:$E$208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746048"/>
        <c:axId val="129747584"/>
      </c:barChart>
      <c:catAx>
        <c:axId val="129746048"/>
        <c:scaling>
          <c:orientation val="minMax"/>
        </c:scaling>
        <c:delete val="0"/>
        <c:axPos val="l"/>
        <c:majorTickMark val="out"/>
        <c:minorTickMark val="none"/>
        <c:tickLblPos val="nextTo"/>
        <c:crossAx val="129747584"/>
        <c:crosses val="autoZero"/>
        <c:auto val="1"/>
        <c:lblAlgn val="ctr"/>
        <c:lblOffset val="100"/>
        <c:noMultiLvlLbl val="0"/>
      </c:catAx>
      <c:valAx>
        <c:axId val="1297475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29746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587375</xdr:colOff>
      <xdr:row>172</xdr:row>
      <xdr:rowOff>34925</xdr:rowOff>
    </xdr:from>
    <xdr:to>
      <xdr:col>11</xdr:col>
      <xdr:colOff>323850</xdr:colOff>
      <xdr:row>183</xdr:row>
      <xdr:rowOff>139700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185</xdr:row>
      <xdr:rowOff>7471</xdr:rowOff>
    </xdr:from>
    <xdr:to>
      <xdr:col>4</xdr:col>
      <xdr:colOff>419288</xdr:colOff>
      <xdr:row>196</xdr:row>
      <xdr:rowOff>131296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608852</xdr:colOff>
      <xdr:row>198</xdr:row>
      <xdr:rowOff>178548</xdr:rowOff>
    </xdr:from>
    <xdr:to>
      <xdr:col>12</xdr:col>
      <xdr:colOff>313765</xdr:colOff>
      <xdr:row>210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17.393550694447" createdVersion="4" refreshedVersion="4" minRefreshableVersion="3" recordCount="6">
  <cacheSource type="worksheet">
    <worksheetSource ref="A159:B165" sheet="Answer"/>
  </cacheSource>
  <cacheFields count="2">
    <cacheField name="Product" numFmtId="0">
      <sharedItems count="3">
        <s v="Laptop"/>
        <s v="Mobile"/>
        <s v="Tablet"/>
      </sharedItems>
    </cacheField>
    <cacheField name="Total sale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217.395273842594" createdVersion="4" refreshedVersion="4" minRefreshableVersion="3" recordCount="6">
  <cacheSource type="worksheet">
    <worksheetSource ref="A175:B181" sheet="Answer"/>
  </cacheSource>
  <cacheFields count="2">
    <cacheField name="Region" numFmtId="0">
      <sharedItems count="4">
        <s v="North"/>
        <s v="South"/>
        <s v="East"/>
        <s v="West"/>
      </sharedItems>
    </cacheField>
    <cacheField name="Total sale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6217.398349305557" createdVersion="4" refreshedVersion="4" minRefreshableVersion="3" recordCount="5">
  <cacheSource type="worksheet">
    <worksheetSource ref="A202:B207" sheet="Answer"/>
  </cacheSource>
  <cacheFields count="2">
    <cacheField name="Name" numFmtId="0">
      <sharedItems count="5">
        <s v="Rahul"/>
        <s v="Sneha"/>
        <s v="Arjun"/>
        <s v="Pooja"/>
        <s v="Vikas"/>
      </sharedItems>
    </cacheField>
    <cacheField name="Excel" numFmtId="0">
      <sharedItems containsSemiMixedTypes="0" containsString="0" containsNumber="1" containsInteger="1" minValue="58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90000"/>
  </r>
  <r>
    <x v="1"/>
    <n v="75000"/>
  </r>
  <r>
    <x v="2"/>
    <n v="54000"/>
  </r>
  <r>
    <x v="0"/>
    <n v="45000"/>
  </r>
  <r>
    <x v="1"/>
    <n v="60000"/>
  </r>
  <r>
    <x v="0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90000"/>
  </r>
  <r>
    <x v="1"/>
    <n v="75000"/>
  </r>
  <r>
    <x v="2"/>
    <n v="54000"/>
  </r>
  <r>
    <x v="3"/>
    <n v="45000"/>
  </r>
  <r>
    <x v="0"/>
    <n v="60000"/>
  </r>
  <r>
    <x v="1"/>
    <n v="9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n v="85"/>
  </r>
  <r>
    <x v="1"/>
    <n v="90"/>
  </r>
  <r>
    <x v="2"/>
    <n v="72"/>
  </r>
  <r>
    <x v="3"/>
    <n v="94"/>
  </r>
  <r>
    <x v="4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202:E208" firstHeaderRow="1" firstDataRow="1" firstDataCol="1"/>
  <pivotFields count="2"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175:E180" firstHeaderRow="1" firstDataRow="1" firstDataCol="1"/>
  <pivotFields count="2"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159:E163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D9" totalsRowShown="0">
  <autoFilter ref="A3:D9"/>
  <tableColumns count="4">
    <tableColumn id="1" name="Product"/>
    <tableColumn id="2" name="Quantity"/>
    <tableColumn id="3" name="Unit_Price"/>
    <tableColumn id="4" name="Total sale">
      <calculatedColumnFormula>B4*C4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3:D19" totalsRowShown="0">
  <autoFilter ref="A13:D19"/>
  <tableColumns count="4">
    <tableColumn id="1" name="Product"/>
    <tableColumn id="2" name="Total sale"/>
    <tableColumn id="3" name="GST_%"/>
    <tableColumn id="4" name="GST">
      <calculatedColumnFormula>B14 * VLOOKUP(A14,A13:C19,3,0)/100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4:D30" totalsRowShown="0">
  <autoFilter ref="A24:D30"/>
  <tableColumns count="4">
    <tableColumn id="1" name="Product"/>
    <tableColumn id="2" name="Total sale"/>
    <tableColumn id="3" name="GST"/>
    <tableColumn id="4" name="Total paybel">
      <calculatedColumnFormula>SUM(B25,C25)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4:B41" totalsRowShown="0" tableBorderDxfId="1">
  <autoFilter ref="A34:B41"/>
  <tableColumns count="2">
    <tableColumn id="1" name="Product"/>
    <tableColumn id="2" name="Total paybel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I13" sqref="I13"/>
    </sheetView>
  </sheetViews>
  <sheetFormatPr defaultRowHeight="14.5" x14ac:dyDescent="0.3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 activeCell="J4" sqref="J4"/>
    </sheetView>
  </sheetViews>
  <sheetFormatPr defaultRowHeight="14.5" x14ac:dyDescent="0.35"/>
  <cols>
    <col min="6" max="6" width="9.2695312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28" sqref="F28"/>
    </sheetView>
  </sheetViews>
  <sheetFormatPr defaultRowHeight="14.5" x14ac:dyDescent="0.3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5" sqref="E5"/>
    </sheetView>
  </sheetViews>
  <sheetFormatPr defaultRowHeight="14.5" x14ac:dyDescent="0.3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password="CF7A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9" workbookViewId="0">
      <selection activeCell="A30" sqref="A30"/>
    </sheetView>
  </sheetViews>
  <sheetFormatPr defaultRowHeight="14.5" x14ac:dyDescent="0.35"/>
  <sheetData>
    <row r="1" spans="1:10" x14ac:dyDescent="0.35">
      <c r="A1" t="s">
        <v>42</v>
      </c>
      <c r="J1">
        <v>2</v>
      </c>
    </row>
    <row r="2" spans="1:10" ht="15" x14ac:dyDescent="0.25">
      <c r="A2" t="s">
        <v>43</v>
      </c>
      <c r="J2">
        <v>2</v>
      </c>
    </row>
    <row r="3" spans="1:10" ht="15" x14ac:dyDescent="0.25">
      <c r="A3" t="s">
        <v>44</v>
      </c>
      <c r="J3">
        <v>2</v>
      </c>
    </row>
    <row r="4" spans="1:10" ht="15" x14ac:dyDescent="0.25">
      <c r="A4" t="s">
        <v>45</v>
      </c>
      <c r="J4">
        <v>2</v>
      </c>
    </row>
    <row r="5" spans="1:10" ht="15" x14ac:dyDescent="0.25">
      <c r="A5" t="s">
        <v>46</v>
      </c>
      <c r="J5">
        <v>2</v>
      </c>
    </row>
    <row r="6" spans="1:10" ht="15" x14ac:dyDescent="0.25">
      <c r="A6" t="s">
        <v>47</v>
      </c>
      <c r="J6">
        <v>2</v>
      </c>
    </row>
    <row r="7" spans="1:10" ht="15" x14ac:dyDescent="0.25">
      <c r="A7" t="s">
        <v>48</v>
      </c>
      <c r="J7">
        <v>2</v>
      </c>
    </row>
    <row r="8" spans="1:10" ht="15" x14ac:dyDescent="0.25">
      <c r="A8" t="s">
        <v>49</v>
      </c>
      <c r="J8">
        <v>2</v>
      </c>
    </row>
    <row r="9" spans="1:10" ht="15" x14ac:dyDescent="0.25">
      <c r="A9" t="s">
        <v>50</v>
      </c>
      <c r="J9">
        <v>2</v>
      </c>
    </row>
    <row r="10" spans="1:10" ht="15" x14ac:dyDescent="0.25">
      <c r="A10" t="s">
        <v>51</v>
      </c>
      <c r="J10">
        <v>2</v>
      </c>
    </row>
    <row r="11" spans="1:10" ht="15" x14ac:dyDescent="0.25">
      <c r="A11" t="s">
        <v>52</v>
      </c>
      <c r="J11">
        <v>2</v>
      </c>
    </row>
    <row r="12" spans="1:10" ht="15" x14ac:dyDescent="0.25">
      <c r="A12" t="s">
        <v>53</v>
      </c>
      <c r="J12">
        <v>2</v>
      </c>
    </row>
    <row r="13" spans="1:10" ht="15" x14ac:dyDescent="0.25">
      <c r="A13" t="s">
        <v>54</v>
      </c>
      <c r="J13">
        <v>2</v>
      </c>
    </row>
    <row r="14" spans="1:10" ht="15" x14ac:dyDescent="0.25">
      <c r="A14" t="s">
        <v>55</v>
      </c>
      <c r="J14">
        <v>2</v>
      </c>
    </row>
    <row r="15" spans="1:10" ht="15" x14ac:dyDescent="0.25">
      <c r="A15" t="s">
        <v>56</v>
      </c>
      <c r="J15">
        <v>2</v>
      </c>
    </row>
    <row r="16" spans="1:10" ht="15" x14ac:dyDescent="0.25">
      <c r="A16" t="s">
        <v>57</v>
      </c>
      <c r="J16">
        <v>2</v>
      </c>
    </row>
    <row r="17" spans="1:10" ht="15" x14ac:dyDescent="0.25">
      <c r="A17" t="s">
        <v>58</v>
      </c>
      <c r="J17">
        <v>2</v>
      </c>
    </row>
    <row r="18" spans="1:10" ht="15" x14ac:dyDescent="0.25">
      <c r="A18" t="s">
        <v>59</v>
      </c>
      <c r="J18">
        <v>2</v>
      </c>
    </row>
    <row r="19" spans="1:10" ht="15" x14ac:dyDescent="0.25">
      <c r="A19" t="s">
        <v>60</v>
      </c>
      <c r="J19">
        <v>2</v>
      </c>
    </row>
    <row r="20" spans="1:10" ht="15" x14ac:dyDescent="0.25">
      <c r="A20" t="s">
        <v>61</v>
      </c>
      <c r="J20">
        <v>2</v>
      </c>
    </row>
    <row r="21" spans="1:10" ht="15" x14ac:dyDescent="0.25">
      <c r="A21" t="s">
        <v>62</v>
      </c>
      <c r="J21">
        <v>2</v>
      </c>
    </row>
    <row r="22" spans="1:10" ht="15" x14ac:dyDescent="0.25">
      <c r="A22" t="s">
        <v>63</v>
      </c>
      <c r="J22">
        <v>2</v>
      </c>
    </row>
    <row r="23" spans="1:10" ht="15" x14ac:dyDescent="0.25">
      <c r="A23" t="s">
        <v>64</v>
      </c>
      <c r="J23">
        <v>2</v>
      </c>
    </row>
    <row r="24" spans="1:10" ht="15" x14ac:dyDescent="0.25">
      <c r="A24" t="s">
        <v>65</v>
      </c>
      <c r="J24">
        <v>2</v>
      </c>
    </row>
    <row r="25" spans="1:10" ht="15" x14ac:dyDescent="0.25">
      <c r="A25" t="s">
        <v>66</v>
      </c>
      <c r="J25">
        <v>2</v>
      </c>
    </row>
    <row r="26" spans="1:10" ht="15" x14ac:dyDescent="0.25">
      <c r="A26" t="s">
        <v>67</v>
      </c>
      <c r="J26">
        <v>2</v>
      </c>
    </row>
    <row r="27" spans="1:10" ht="15" x14ac:dyDescent="0.25">
      <c r="A27" t="s">
        <v>68</v>
      </c>
      <c r="J27">
        <v>2</v>
      </c>
    </row>
    <row r="28" spans="1:10" ht="15" x14ac:dyDescent="0.25">
      <c r="A28" t="s">
        <v>69</v>
      </c>
      <c r="J28">
        <v>2</v>
      </c>
    </row>
    <row r="29" spans="1:10" ht="15" x14ac:dyDescent="0.25">
      <c r="A29" t="s">
        <v>70</v>
      </c>
      <c r="J29">
        <v>2</v>
      </c>
    </row>
    <row r="30" spans="1:10" ht="15" x14ac:dyDescent="0.25">
      <c r="A30" t="s">
        <v>71</v>
      </c>
      <c r="J30">
        <v>2</v>
      </c>
    </row>
    <row r="32" spans="1:10" ht="15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14"/>
  <sheetViews>
    <sheetView topLeftCell="A297" zoomScale="85" zoomScaleNormal="85" workbookViewId="0">
      <selection activeCell="A315" sqref="A315"/>
    </sheetView>
  </sheetViews>
  <sheetFormatPr defaultRowHeight="14.5" x14ac:dyDescent="0.35"/>
  <cols>
    <col min="1" max="1" width="19.1796875" bestFit="1" customWidth="1"/>
    <col min="2" max="2" width="15.90625" bestFit="1" customWidth="1"/>
    <col min="3" max="3" width="11.26953125" customWidth="1"/>
    <col min="4" max="4" width="13.1796875" customWidth="1"/>
    <col min="5" max="5" width="11.54296875" customWidth="1"/>
  </cols>
  <sheetData>
    <row r="1" spans="1:4" x14ac:dyDescent="0.35">
      <c r="A1" t="s">
        <v>73</v>
      </c>
    </row>
    <row r="3" spans="1:4" x14ac:dyDescent="0.35">
      <c r="A3" t="s">
        <v>7</v>
      </c>
      <c r="B3" t="s">
        <v>8</v>
      </c>
      <c r="C3" t="s">
        <v>9</v>
      </c>
      <c r="D3" t="s">
        <v>74</v>
      </c>
    </row>
    <row r="4" spans="1:4" x14ac:dyDescent="0.35">
      <c r="A4" t="s">
        <v>13</v>
      </c>
      <c r="B4">
        <v>2</v>
      </c>
      <c r="C4">
        <v>45000</v>
      </c>
      <c r="D4">
        <f>B4*C4</f>
        <v>90000</v>
      </c>
    </row>
    <row r="5" spans="1:4" x14ac:dyDescent="0.35">
      <c r="A5" t="s">
        <v>17</v>
      </c>
      <c r="B5">
        <v>5</v>
      </c>
      <c r="C5">
        <v>15000</v>
      </c>
      <c r="D5">
        <f t="shared" ref="D5:D9" si="0">B5*C5</f>
        <v>75000</v>
      </c>
    </row>
    <row r="6" spans="1:4" x14ac:dyDescent="0.35">
      <c r="A6" t="s">
        <v>21</v>
      </c>
      <c r="B6">
        <v>3</v>
      </c>
      <c r="C6">
        <v>18000</v>
      </c>
      <c r="D6">
        <f t="shared" si="0"/>
        <v>54000</v>
      </c>
    </row>
    <row r="7" spans="1:4" x14ac:dyDescent="0.35">
      <c r="A7" t="s">
        <v>13</v>
      </c>
      <c r="B7">
        <v>1</v>
      </c>
      <c r="C7">
        <v>45000</v>
      </c>
      <c r="D7">
        <f t="shared" si="0"/>
        <v>45000</v>
      </c>
    </row>
    <row r="8" spans="1:4" x14ac:dyDescent="0.35">
      <c r="A8" t="s">
        <v>17</v>
      </c>
      <c r="B8">
        <v>4</v>
      </c>
      <c r="C8">
        <v>15000</v>
      </c>
      <c r="D8">
        <f t="shared" si="0"/>
        <v>60000</v>
      </c>
    </row>
    <row r="9" spans="1:4" x14ac:dyDescent="0.35">
      <c r="A9" t="s">
        <v>13</v>
      </c>
      <c r="B9">
        <v>2</v>
      </c>
      <c r="C9">
        <v>45000</v>
      </c>
      <c r="D9">
        <f t="shared" si="0"/>
        <v>90000</v>
      </c>
    </row>
    <row r="11" spans="1:4" x14ac:dyDescent="0.35">
      <c r="A11" t="s">
        <v>75</v>
      </c>
    </row>
    <row r="13" spans="1:4" x14ac:dyDescent="0.35">
      <c r="A13" t="s">
        <v>7</v>
      </c>
      <c r="B13" t="s">
        <v>74</v>
      </c>
      <c r="C13" t="s">
        <v>29</v>
      </c>
      <c r="D13" t="s">
        <v>76</v>
      </c>
    </row>
    <row r="14" spans="1:4" x14ac:dyDescent="0.35">
      <c r="A14" t="s">
        <v>13</v>
      </c>
      <c r="B14">
        <v>90000</v>
      </c>
      <c r="C14">
        <v>18</v>
      </c>
      <c r="D14">
        <f>B14 * VLOOKUP(A14,A13:C19,3,0)/100</f>
        <v>16200</v>
      </c>
    </row>
    <row r="15" spans="1:4" x14ac:dyDescent="0.35">
      <c r="A15" t="s">
        <v>17</v>
      </c>
      <c r="B15">
        <v>75000</v>
      </c>
      <c r="C15">
        <v>12</v>
      </c>
      <c r="D15">
        <f t="shared" ref="D15:D19" si="1">B15 * VLOOKUP(A15,A14:C20,3,0)/100</f>
        <v>9000</v>
      </c>
    </row>
    <row r="16" spans="1:4" x14ac:dyDescent="0.35">
      <c r="A16" t="s">
        <v>21</v>
      </c>
      <c r="B16">
        <v>54000</v>
      </c>
      <c r="C16">
        <v>12</v>
      </c>
      <c r="D16">
        <f t="shared" si="1"/>
        <v>6480</v>
      </c>
    </row>
    <row r="17" spans="1:4" x14ac:dyDescent="0.35">
      <c r="A17" t="s">
        <v>13</v>
      </c>
      <c r="B17">
        <v>45000</v>
      </c>
      <c r="C17">
        <v>18</v>
      </c>
      <c r="D17">
        <f t="shared" si="1"/>
        <v>8100</v>
      </c>
    </row>
    <row r="18" spans="1:4" x14ac:dyDescent="0.35">
      <c r="A18" t="s">
        <v>17</v>
      </c>
      <c r="B18">
        <v>60000</v>
      </c>
      <c r="C18">
        <v>12</v>
      </c>
      <c r="D18">
        <f t="shared" si="1"/>
        <v>7200</v>
      </c>
    </row>
    <row r="19" spans="1:4" x14ac:dyDescent="0.35">
      <c r="A19" t="s">
        <v>13</v>
      </c>
      <c r="B19">
        <v>90000</v>
      </c>
      <c r="C19">
        <v>18</v>
      </c>
      <c r="D19">
        <f t="shared" si="1"/>
        <v>16200</v>
      </c>
    </row>
    <row r="22" spans="1:4" x14ac:dyDescent="0.35">
      <c r="A22" t="s">
        <v>77</v>
      </c>
    </row>
    <row r="24" spans="1:4" x14ac:dyDescent="0.35">
      <c r="A24" t="s">
        <v>7</v>
      </c>
      <c r="B24" t="s">
        <v>74</v>
      </c>
      <c r="C24" t="s">
        <v>76</v>
      </c>
      <c r="D24" t="s">
        <v>78</v>
      </c>
    </row>
    <row r="25" spans="1:4" x14ac:dyDescent="0.35">
      <c r="A25" t="s">
        <v>13</v>
      </c>
      <c r="B25">
        <v>90000</v>
      </c>
      <c r="C25">
        <v>16200</v>
      </c>
      <c r="D25">
        <f>SUM(B25,C25)</f>
        <v>106200</v>
      </c>
    </row>
    <row r="26" spans="1:4" x14ac:dyDescent="0.35">
      <c r="A26" t="s">
        <v>17</v>
      </c>
      <c r="B26">
        <v>75000</v>
      </c>
      <c r="C26">
        <v>9000</v>
      </c>
      <c r="D26">
        <f t="shared" ref="D26:D30" si="2">SUM(B26,C26)</f>
        <v>84000</v>
      </c>
    </row>
    <row r="27" spans="1:4" x14ac:dyDescent="0.35">
      <c r="A27" t="s">
        <v>21</v>
      </c>
      <c r="B27">
        <v>54000</v>
      </c>
      <c r="C27">
        <v>6480</v>
      </c>
      <c r="D27">
        <f t="shared" si="2"/>
        <v>60480</v>
      </c>
    </row>
    <row r="28" spans="1:4" x14ac:dyDescent="0.35">
      <c r="A28" t="s">
        <v>13</v>
      </c>
      <c r="B28">
        <v>45000</v>
      </c>
      <c r="C28">
        <v>8100</v>
      </c>
      <c r="D28">
        <f t="shared" si="2"/>
        <v>53100</v>
      </c>
    </row>
    <row r="29" spans="1:4" x14ac:dyDescent="0.35">
      <c r="A29" t="s">
        <v>17</v>
      </c>
      <c r="B29">
        <v>60000</v>
      </c>
      <c r="C29">
        <v>7200</v>
      </c>
      <c r="D29">
        <f t="shared" si="2"/>
        <v>67200</v>
      </c>
    </row>
    <row r="30" spans="1:4" x14ac:dyDescent="0.35">
      <c r="A30" t="s">
        <v>13</v>
      </c>
      <c r="B30">
        <v>90000</v>
      </c>
      <c r="C30">
        <v>16200</v>
      </c>
      <c r="D30">
        <f t="shared" si="2"/>
        <v>106200</v>
      </c>
    </row>
    <row r="32" spans="1:4" x14ac:dyDescent="0.35">
      <c r="A32" t="s">
        <v>79</v>
      </c>
    </row>
    <row r="34" spans="1:2" x14ac:dyDescent="0.35">
      <c r="A34" t="s">
        <v>7</v>
      </c>
      <c r="B34" t="s">
        <v>78</v>
      </c>
    </row>
    <row r="35" spans="1:2" x14ac:dyDescent="0.35">
      <c r="A35" t="s">
        <v>13</v>
      </c>
      <c r="B35">
        <v>106200</v>
      </c>
    </row>
    <row r="36" spans="1:2" x14ac:dyDescent="0.35">
      <c r="A36" t="s">
        <v>17</v>
      </c>
      <c r="B36">
        <v>84000</v>
      </c>
    </row>
    <row r="37" spans="1:2" x14ac:dyDescent="0.35">
      <c r="A37" t="s">
        <v>21</v>
      </c>
      <c r="B37">
        <v>60480</v>
      </c>
    </row>
    <row r="38" spans="1:2" x14ac:dyDescent="0.35">
      <c r="A38" t="s">
        <v>13</v>
      </c>
      <c r="B38">
        <v>53100</v>
      </c>
    </row>
    <row r="39" spans="1:2" x14ac:dyDescent="0.35">
      <c r="A39" t="s">
        <v>17</v>
      </c>
      <c r="B39">
        <v>67200</v>
      </c>
    </row>
    <row r="40" spans="1:2" ht="15" thickBot="1" x14ac:dyDescent="0.4">
      <c r="A40" t="s">
        <v>13</v>
      </c>
      <c r="B40">
        <v>106200</v>
      </c>
    </row>
    <row r="41" spans="1:2" x14ac:dyDescent="0.35">
      <c r="A41" s="1" t="s">
        <v>82</v>
      </c>
      <c r="B41" s="2">
        <f>SUM(B35:B40)</f>
        <v>477180</v>
      </c>
    </row>
    <row r="44" spans="1:2" x14ac:dyDescent="0.35">
      <c r="A44" t="s">
        <v>81</v>
      </c>
    </row>
    <row r="46" spans="1:2" x14ac:dyDescent="0.35">
      <c r="A46" t="s">
        <v>4</v>
      </c>
    </row>
    <row r="47" spans="1:2" x14ac:dyDescent="0.35">
      <c r="A47">
        <v>301</v>
      </c>
    </row>
    <row r="48" spans="1:2" x14ac:dyDescent="0.35">
      <c r="A48">
        <v>302</v>
      </c>
    </row>
    <row r="49" spans="1:3" x14ac:dyDescent="0.35">
      <c r="A49">
        <v>303</v>
      </c>
    </row>
    <row r="50" spans="1:3" x14ac:dyDescent="0.35">
      <c r="A50">
        <v>304</v>
      </c>
    </row>
    <row r="51" spans="1:3" x14ac:dyDescent="0.35">
      <c r="A51">
        <v>305</v>
      </c>
    </row>
    <row r="52" spans="1:3" x14ac:dyDescent="0.35">
      <c r="A52">
        <v>306</v>
      </c>
    </row>
    <row r="53" spans="1:3" x14ac:dyDescent="0.35">
      <c r="A53" t="s">
        <v>80</v>
      </c>
      <c r="B53">
        <f>COUNTA(A47:A52)</f>
        <v>6</v>
      </c>
    </row>
    <row r="56" spans="1:3" x14ac:dyDescent="0.35">
      <c r="A56" t="s">
        <v>83</v>
      </c>
    </row>
    <row r="58" spans="1:3" x14ac:dyDescent="0.35">
      <c r="A58" t="s">
        <v>5</v>
      </c>
      <c r="B58" t="s">
        <v>74</v>
      </c>
      <c r="C58" t="s">
        <v>84</v>
      </c>
    </row>
    <row r="59" spans="1:3" x14ac:dyDescent="0.35">
      <c r="A59" t="s">
        <v>11</v>
      </c>
      <c r="B59">
        <v>90000</v>
      </c>
      <c r="C59">
        <f>SUMIF($A$59:$A$64,A59,$B$59:$B$64)</f>
        <v>150000</v>
      </c>
    </row>
    <row r="60" spans="1:3" x14ac:dyDescent="0.35">
      <c r="A60" t="s">
        <v>15</v>
      </c>
      <c r="B60">
        <v>75000</v>
      </c>
      <c r="C60">
        <f t="shared" ref="C60:C62" si="3">SUMIF($A$59:$A$64,A60,$B$59:$B$64)</f>
        <v>165000</v>
      </c>
    </row>
    <row r="61" spans="1:3" x14ac:dyDescent="0.35">
      <c r="A61" t="s">
        <v>19</v>
      </c>
      <c r="B61">
        <v>54000</v>
      </c>
      <c r="C61">
        <f t="shared" si="3"/>
        <v>54000</v>
      </c>
    </row>
    <row r="62" spans="1:3" x14ac:dyDescent="0.35">
      <c r="A62" t="s">
        <v>23</v>
      </c>
      <c r="B62">
        <v>45000</v>
      </c>
      <c r="C62">
        <f t="shared" si="3"/>
        <v>45000</v>
      </c>
    </row>
    <row r="63" spans="1:3" x14ac:dyDescent="0.35">
      <c r="A63" t="s">
        <v>11</v>
      </c>
      <c r="B63">
        <v>60000</v>
      </c>
    </row>
    <row r="64" spans="1:3" x14ac:dyDescent="0.35">
      <c r="A64" t="s">
        <v>15</v>
      </c>
      <c r="B64">
        <v>90000</v>
      </c>
    </row>
    <row r="66" spans="1:4" x14ac:dyDescent="0.35">
      <c r="A66" t="s">
        <v>85</v>
      </c>
    </row>
    <row r="68" spans="1:4" x14ac:dyDescent="0.35">
      <c r="A68" t="s">
        <v>8</v>
      </c>
      <c r="B68" t="s">
        <v>86</v>
      </c>
    </row>
    <row r="69" spans="1:4" x14ac:dyDescent="0.35">
      <c r="A69">
        <v>2</v>
      </c>
      <c r="B69" t="str">
        <f>IF(A69&gt;3,"high","low")</f>
        <v>low</v>
      </c>
    </row>
    <row r="70" spans="1:4" x14ac:dyDescent="0.35">
      <c r="A70">
        <v>5</v>
      </c>
      <c r="B70" t="str">
        <f t="shared" ref="B70:B74" si="4">IF(A70&gt;3,"high","low")</f>
        <v>high</v>
      </c>
    </row>
    <row r="71" spans="1:4" x14ac:dyDescent="0.35">
      <c r="A71">
        <v>3</v>
      </c>
      <c r="B71" t="str">
        <f t="shared" si="4"/>
        <v>low</v>
      </c>
    </row>
    <row r="72" spans="1:4" x14ac:dyDescent="0.35">
      <c r="A72">
        <v>1</v>
      </c>
      <c r="B72" t="str">
        <f t="shared" si="4"/>
        <v>low</v>
      </c>
    </row>
    <row r="73" spans="1:4" x14ac:dyDescent="0.35">
      <c r="A73">
        <v>4</v>
      </c>
      <c r="B73" t="str">
        <f t="shared" si="4"/>
        <v>high</v>
      </c>
    </row>
    <row r="74" spans="1:4" x14ac:dyDescent="0.35">
      <c r="A74">
        <v>2</v>
      </c>
      <c r="B74" t="str">
        <f t="shared" si="4"/>
        <v>low</v>
      </c>
    </row>
    <row r="76" spans="1:4" x14ac:dyDescent="0.35">
      <c r="A76" t="s">
        <v>87</v>
      </c>
    </row>
    <row r="78" spans="1:4" x14ac:dyDescent="0.35">
      <c r="A78" t="s">
        <v>7</v>
      </c>
      <c r="B78" t="s">
        <v>78</v>
      </c>
      <c r="C78" t="s">
        <v>88</v>
      </c>
      <c r="D78" t="s">
        <v>89</v>
      </c>
    </row>
    <row r="79" spans="1:4" x14ac:dyDescent="0.35">
      <c r="A79" t="s">
        <v>13</v>
      </c>
      <c r="B79">
        <v>106200</v>
      </c>
      <c r="C79">
        <f>MAX(B79:B84)</f>
        <v>106200</v>
      </c>
      <c r="D79">
        <f>MIN(B79:B84)</f>
        <v>53100</v>
      </c>
    </row>
    <row r="80" spans="1:4" x14ac:dyDescent="0.35">
      <c r="A80" t="s">
        <v>17</v>
      </c>
      <c r="B80">
        <v>84000</v>
      </c>
    </row>
    <row r="81" spans="1:2" x14ac:dyDescent="0.35">
      <c r="A81" t="s">
        <v>21</v>
      </c>
      <c r="B81">
        <v>60480</v>
      </c>
    </row>
    <row r="82" spans="1:2" x14ac:dyDescent="0.35">
      <c r="A82" t="s">
        <v>13</v>
      </c>
      <c r="B82">
        <v>53100</v>
      </c>
    </row>
    <row r="83" spans="1:2" x14ac:dyDescent="0.35">
      <c r="A83" t="s">
        <v>17</v>
      </c>
      <c r="B83">
        <v>67200</v>
      </c>
    </row>
    <row r="84" spans="1:2" x14ac:dyDescent="0.35">
      <c r="A84" t="s">
        <v>13</v>
      </c>
      <c r="B84">
        <v>106200</v>
      </c>
    </row>
    <row r="87" spans="1:2" x14ac:dyDescent="0.35">
      <c r="A87" t="s">
        <v>90</v>
      </c>
    </row>
    <row r="89" spans="1:2" x14ac:dyDescent="0.35">
      <c r="A89" t="s">
        <v>10</v>
      </c>
      <c r="B89" t="s">
        <v>91</v>
      </c>
    </row>
    <row r="90" spans="1:2" x14ac:dyDescent="0.35">
      <c r="A90" t="s">
        <v>14</v>
      </c>
      <c r="B90" t="str">
        <f>TEXT($A$90:$A$95,"mmm")</f>
        <v>Jan</v>
      </c>
    </row>
    <row r="91" spans="1:2" x14ac:dyDescent="0.35">
      <c r="A91" s="3">
        <v>45784</v>
      </c>
      <c r="B91" t="str">
        <f t="shared" ref="B91:B95" si="5">TEXT($A$90:$A$95,"mmm")</f>
        <v>May</v>
      </c>
    </row>
    <row r="92" spans="1:2" x14ac:dyDescent="0.35">
      <c r="A92" s="3">
        <v>45698</v>
      </c>
      <c r="B92" t="str">
        <f t="shared" si="5"/>
        <v>Feb</v>
      </c>
    </row>
    <row r="93" spans="1:2" x14ac:dyDescent="0.35">
      <c r="A93" t="s">
        <v>25</v>
      </c>
      <c r="B93" t="str">
        <f t="shared" si="5"/>
        <v>Jan</v>
      </c>
    </row>
    <row r="94" spans="1:2" x14ac:dyDescent="0.35">
      <c r="A94" s="3">
        <v>45823</v>
      </c>
      <c r="B94" t="str">
        <f t="shared" si="5"/>
        <v>Jun</v>
      </c>
    </row>
    <row r="95" spans="1:2" x14ac:dyDescent="0.35">
      <c r="A95" s="3">
        <v>45887</v>
      </c>
      <c r="B95" t="str">
        <f t="shared" si="5"/>
        <v>Aug</v>
      </c>
    </row>
    <row r="98" spans="1:2" x14ac:dyDescent="0.35">
      <c r="A98" t="s">
        <v>92</v>
      </c>
    </row>
    <row r="100" spans="1:2" x14ac:dyDescent="0.35">
      <c r="A100" t="s">
        <v>74</v>
      </c>
      <c r="B100" t="s">
        <v>93</v>
      </c>
    </row>
    <row r="101" spans="1:2" x14ac:dyDescent="0.35">
      <c r="A101">
        <v>45000</v>
      </c>
      <c r="B101">
        <v>90000</v>
      </c>
    </row>
    <row r="102" spans="1:2" x14ac:dyDescent="0.35">
      <c r="A102">
        <v>54000</v>
      </c>
      <c r="B102">
        <v>90000</v>
      </c>
    </row>
    <row r="103" spans="1:2" x14ac:dyDescent="0.35">
      <c r="A103">
        <v>60000</v>
      </c>
      <c r="B103">
        <v>75000</v>
      </c>
    </row>
    <row r="104" spans="1:2" x14ac:dyDescent="0.35">
      <c r="A104">
        <v>75000</v>
      </c>
      <c r="B104">
        <v>60000</v>
      </c>
    </row>
    <row r="105" spans="1:2" x14ac:dyDescent="0.35">
      <c r="A105">
        <v>90000</v>
      </c>
      <c r="B105">
        <v>54000</v>
      </c>
    </row>
    <row r="106" spans="1:2" x14ac:dyDescent="0.35">
      <c r="A106">
        <v>90000</v>
      </c>
      <c r="B106">
        <v>45000</v>
      </c>
    </row>
    <row r="109" spans="1:2" x14ac:dyDescent="0.35">
      <c r="A109" t="s">
        <v>94</v>
      </c>
    </row>
    <row r="111" spans="1:2" x14ac:dyDescent="0.35">
      <c r="A111" t="s">
        <v>7</v>
      </c>
      <c r="B111" t="s">
        <v>28</v>
      </c>
    </row>
    <row r="112" spans="1:2" x14ac:dyDescent="0.35">
      <c r="A112" t="s">
        <v>13</v>
      </c>
      <c r="B112" t="s">
        <v>30</v>
      </c>
    </row>
    <row r="113" spans="1:5" x14ac:dyDescent="0.35">
      <c r="A113" t="s">
        <v>17</v>
      </c>
      <c r="B113" t="s">
        <v>30</v>
      </c>
    </row>
    <row r="114" spans="1:5" x14ac:dyDescent="0.35">
      <c r="A114" t="s">
        <v>21</v>
      </c>
      <c r="B114" t="s">
        <v>30</v>
      </c>
    </row>
    <row r="116" spans="1:5" x14ac:dyDescent="0.35">
      <c r="A116" t="s">
        <v>7</v>
      </c>
      <c r="B116" t="s">
        <v>28</v>
      </c>
    </row>
    <row r="117" spans="1:5" x14ac:dyDescent="0.35">
      <c r="A117" t="s">
        <v>21</v>
      </c>
      <c r="B117" t="str">
        <f>INDEX(A111:B114,MATCH(A117,A111:A114,0),MATCH(B116,A111:B111,0))</f>
        <v>Electronics</v>
      </c>
    </row>
    <row r="119" spans="1:5" x14ac:dyDescent="0.35">
      <c r="A119" t="s">
        <v>95</v>
      </c>
    </row>
    <row r="121" spans="1:5" x14ac:dyDescent="0.35">
      <c r="A121" t="s">
        <v>32</v>
      </c>
      <c r="B121" t="s">
        <v>33</v>
      </c>
      <c r="C121" t="s">
        <v>34</v>
      </c>
      <c r="D121" t="s">
        <v>35</v>
      </c>
      <c r="E121" t="s">
        <v>96</v>
      </c>
    </row>
    <row r="122" spans="1:5" x14ac:dyDescent="0.35">
      <c r="A122" t="s">
        <v>37</v>
      </c>
      <c r="B122">
        <v>78</v>
      </c>
      <c r="C122">
        <v>82</v>
      </c>
      <c r="D122">
        <v>85</v>
      </c>
      <c r="E122" s="4">
        <f>AVERAGE(B122,C122,D122)</f>
        <v>81.666666666666671</v>
      </c>
    </row>
    <row r="123" spans="1:5" x14ac:dyDescent="0.35">
      <c r="A123" t="s">
        <v>38</v>
      </c>
      <c r="B123">
        <v>88</v>
      </c>
      <c r="C123">
        <v>91</v>
      </c>
      <c r="D123">
        <v>90</v>
      </c>
      <c r="E123" s="4">
        <f t="shared" ref="E123:E125" si="6">AVERAGE(B123,C123,D123)</f>
        <v>89.666666666666671</v>
      </c>
    </row>
    <row r="124" spans="1:5" x14ac:dyDescent="0.35">
      <c r="A124" t="s">
        <v>39</v>
      </c>
      <c r="B124">
        <v>65</v>
      </c>
      <c r="C124">
        <v>70</v>
      </c>
      <c r="D124">
        <v>72</v>
      </c>
      <c r="E124" s="4">
        <f t="shared" si="6"/>
        <v>69</v>
      </c>
    </row>
    <row r="125" spans="1:5" x14ac:dyDescent="0.35">
      <c r="A125" t="s">
        <v>40</v>
      </c>
      <c r="B125">
        <v>92</v>
      </c>
      <c r="C125">
        <v>89</v>
      </c>
      <c r="D125">
        <v>94</v>
      </c>
      <c r="E125" s="4">
        <f t="shared" si="6"/>
        <v>91.666666666666671</v>
      </c>
    </row>
    <row r="126" spans="1:5" x14ac:dyDescent="0.35">
      <c r="A126" t="s">
        <v>41</v>
      </c>
      <c r="B126">
        <v>55</v>
      </c>
      <c r="C126">
        <v>60</v>
      </c>
      <c r="D126">
        <v>58</v>
      </c>
      <c r="E126" s="4">
        <f>AVERAGE(B126,C126,D126)</f>
        <v>57.666666666666664</v>
      </c>
    </row>
    <row r="128" spans="1:5" x14ac:dyDescent="0.35">
      <c r="A128" t="s">
        <v>97</v>
      </c>
    </row>
    <row r="130" spans="1:3" x14ac:dyDescent="0.35">
      <c r="A130" t="s">
        <v>32</v>
      </c>
      <c r="B130" t="s">
        <v>96</v>
      </c>
      <c r="C130" t="s">
        <v>98</v>
      </c>
    </row>
    <row r="131" spans="1:3" x14ac:dyDescent="0.35">
      <c r="A131" t="s">
        <v>37</v>
      </c>
      <c r="B131" s="4">
        <v>81.666666666666671</v>
      </c>
      <c r="C131" t="str">
        <f>INDEX(A131:A135,MATCH(MAX(B131:B135),B131:B135,0))</f>
        <v>Pooja</v>
      </c>
    </row>
    <row r="132" spans="1:3" x14ac:dyDescent="0.35">
      <c r="A132" t="s">
        <v>38</v>
      </c>
      <c r="B132" s="4">
        <v>89.666666666666671</v>
      </c>
    </row>
    <row r="133" spans="1:3" x14ac:dyDescent="0.35">
      <c r="A133" t="s">
        <v>39</v>
      </c>
      <c r="B133" s="4">
        <v>69</v>
      </c>
    </row>
    <row r="134" spans="1:3" x14ac:dyDescent="0.35">
      <c r="A134" t="s">
        <v>40</v>
      </c>
      <c r="B134" s="4">
        <v>91.666666666666671</v>
      </c>
    </row>
    <row r="135" spans="1:3" x14ac:dyDescent="0.35">
      <c r="A135" t="s">
        <v>41</v>
      </c>
      <c r="B135" s="4">
        <v>57.666666666666664</v>
      </c>
    </row>
    <row r="137" spans="1:3" x14ac:dyDescent="0.35">
      <c r="A137" t="s">
        <v>99</v>
      </c>
    </row>
    <row r="139" spans="1:3" x14ac:dyDescent="0.35">
      <c r="A139" t="s">
        <v>32</v>
      </c>
      <c r="B139" t="s">
        <v>36</v>
      </c>
      <c r="C139" t="s">
        <v>100</v>
      </c>
    </row>
    <row r="140" spans="1:3" x14ac:dyDescent="0.35">
      <c r="A140" t="s">
        <v>37</v>
      </c>
      <c r="B140">
        <v>92</v>
      </c>
      <c r="C140">
        <f>COUNTIF(B140:B144,"&gt;90")</f>
        <v>3</v>
      </c>
    </row>
    <row r="141" spans="1:3" x14ac:dyDescent="0.35">
      <c r="A141" t="s">
        <v>38</v>
      </c>
      <c r="B141">
        <v>96</v>
      </c>
    </row>
    <row r="142" spans="1:3" x14ac:dyDescent="0.35">
      <c r="A142" t="s">
        <v>39</v>
      </c>
      <c r="B142">
        <v>85</v>
      </c>
    </row>
    <row r="143" spans="1:3" x14ac:dyDescent="0.35">
      <c r="A143" t="s">
        <v>40</v>
      </c>
      <c r="B143">
        <v>98</v>
      </c>
    </row>
    <row r="144" spans="1:3" x14ac:dyDescent="0.35">
      <c r="A144" t="s">
        <v>41</v>
      </c>
      <c r="B144">
        <v>80</v>
      </c>
    </row>
    <row r="146" spans="1:5" x14ac:dyDescent="0.35">
      <c r="A146" t="s">
        <v>101</v>
      </c>
    </row>
    <row r="148" spans="1:5" x14ac:dyDescent="0.35">
      <c r="A148" t="s">
        <v>32</v>
      </c>
      <c r="B148" t="s">
        <v>36</v>
      </c>
      <c r="C148" t="s">
        <v>102</v>
      </c>
    </row>
    <row r="149" spans="1:5" x14ac:dyDescent="0.35">
      <c r="A149" t="s">
        <v>37</v>
      </c>
      <c r="B149">
        <v>92</v>
      </c>
      <c r="C149" t="str">
        <f>IF(Answer!B149&gt;=85,"Eligible","not Eligible")</f>
        <v>Eligible</v>
      </c>
    </row>
    <row r="150" spans="1:5" x14ac:dyDescent="0.35">
      <c r="A150" t="s">
        <v>38</v>
      </c>
      <c r="B150">
        <v>96</v>
      </c>
      <c r="C150" t="str">
        <f>IF(Answer!B150&gt;=85,"Eligible","not Eligible")</f>
        <v>Eligible</v>
      </c>
    </row>
    <row r="151" spans="1:5" x14ac:dyDescent="0.35">
      <c r="A151" t="s">
        <v>39</v>
      </c>
      <c r="B151">
        <v>85</v>
      </c>
      <c r="C151" t="str">
        <f>IF(Answer!B151&gt;=85,"Eligible","not Eligible")</f>
        <v>Eligible</v>
      </c>
    </row>
    <row r="152" spans="1:5" x14ac:dyDescent="0.35">
      <c r="A152" t="s">
        <v>40</v>
      </c>
      <c r="B152">
        <v>98</v>
      </c>
      <c r="C152" t="str">
        <f>IF(Answer!B152&gt;=85,"Eligible","not Eligible")</f>
        <v>Eligible</v>
      </c>
    </row>
    <row r="153" spans="1:5" x14ac:dyDescent="0.35">
      <c r="A153" t="s">
        <v>41</v>
      </c>
      <c r="B153">
        <v>80</v>
      </c>
      <c r="C153" t="str">
        <f>IF(Answer!B153&gt;=85,"Eligible","not Eligible")</f>
        <v>not Eligible</v>
      </c>
    </row>
    <row r="155" spans="1:5" x14ac:dyDescent="0.35">
      <c r="A155" t="s">
        <v>103</v>
      </c>
    </row>
    <row r="157" spans="1:5" x14ac:dyDescent="0.35">
      <c r="A157" t="s">
        <v>104</v>
      </c>
    </row>
    <row r="159" spans="1:5" x14ac:dyDescent="0.35">
      <c r="A159" t="s">
        <v>7</v>
      </c>
      <c r="B159" t="s">
        <v>74</v>
      </c>
      <c r="D159" s="5" t="s">
        <v>105</v>
      </c>
      <c r="E159" t="s">
        <v>107</v>
      </c>
    </row>
    <row r="160" spans="1:5" x14ac:dyDescent="0.35">
      <c r="A160" t="s">
        <v>13</v>
      </c>
      <c r="B160">
        <v>90000</v>
      </c>
      <c r="D160" s="6" t="s">
        <v>13</v>
      </c>
      <c r="E160" s="7">
        <v>225000</v>
      </c>
    </row>
    <row r="161" spans="1:5" x14ac:dyDescent="0.35">
      <c r="A161" t="s">
        <v>17</v>
      </c>
      <c r="B161">
        <v>75000</v>
      </c>
      <c r="D161" s="6" t="s">
        <v>17</v>
      </c>
      <c r="E161" s="7">
        <v>135000</v>
      </c>
    </row>
    <row r="162" spans="1:5" x14ac:dyDescent="0.35">
      <c r="A162" t="s">
        <v>21</v>
      </c>
      <c r="B162">
        <v>54000</v>
      </c>
      <c r="D162" s="6" t="s">
        <v>21</v>
      </c>
      <c r="E162" s="7">
        <v>54000</v>
      </c>
    </row>
    <row r="163" spans="1:5" x14ac:dyDescent="0.35">
      <c r="A163" t="s">
        <v>13</v>
      </c>
      <c r="B163">
        <v>45000</v>
      </c>
      <c r="D163" s="6" t="s">
        <v>106</v>
      </c>
      <c r="E163" s="7">
        <v>414000</v>
      </c>
    </row>
    <row r="164" spans="1:5" x14ac:dyDescent="0.35">
      <c r="A164" t="s">
        <v>17</v>
      </c>
      <c r="B164">
        <v>60000</v>
      </c>
    </row>
    <row r="165" spans="1:5" x14ac:dyDescent="0.35">
      <c r="A165" t="s">
        <v>13</v>
      </c>
      <c r="B165">
        <v>90000</v>
      </c>
    </row>
    <row r="172" spans="1:5" x14ac:dyDescent="0.35">
      <c r="A172" t="s">
        <v>108</v>
      </c>
    </row>
    <row r="175" spans="1:5" x14ac:dyDescent="0.35">
      <c r="A175" t="s">
        <v>5</v>
      </c>
      <c r="B175" t="s">
        <v>74</v>
      </c>
      <c r="D175" s="5" t="s">
        <v>105</v>
      </c>
      <c r="E175" t="s">
        <v>107</v>
      </c>
    </row>
    <row r="176" spans="1:5" x14ac:dyDescent="0.35">
      <c r="A176" t="s">
        <v>11</v>
      </c>
      <c r="B176">
        <v>90000</v>
      </c>
      <c r="D176" s="6" t="s">
        <v>19</v>
      </c>
      <c r="E176" s="7">
        <v>54000</v>
      </c>
    </row>
    <row r="177" spans="1:5" x14ac:dyDescent="0.35">
      <c r="A177" t="s">
        <v>15</v>
      </c>
      <c r="B177">
        <v>75000</v>
      </c>
      <c r="D177" s="6" t="s">
        <v>11</v>
      </c>
      <c r="E177" s="7">
        <v>150000</v>
      </c>
    </row>
    <row r="178" spans="1:5" x14ac:dyDescent="0.35">
      <c r="A178" t="s">
        <v>19</v>
      </c>
      <c r="B178">
        <v>54000</v>
      </c>
      <c r="D178" s="6" t="s">
        <v>15</v>
      </c>
      <c r="E178" s="7">
        <v>165000</v>
      </c>
    </row>
    <row r="179" spans="1:5" x14ac:dyDescent="0.35">
      <c r="A179" t="s">
        <v>23</v>
      </c>
      <c r="B179">
        <v>45000</v>
      </c>
      <c r="D179" s="6" t="s">
        <v>23</v>
      </c>
      <c r="E179" s="7">
        <v>45000</v>
      </c>
    </row>
    <row r="180" spans="1:5" x14ac:dyDescent="0.35">
      <c r="A180" t="s">
        <v>11</v>
      </c>
      <c r="B180">
        <v>60000</v>
      </c>
      <c r="D180" s="6" t="s">
        <v>106</v>
      </c>
      <c r="E180" s="7">
        <v>414000</v>
      </c>
    </row>
    <row r="181" spans="1:5" x14ac:dyDescent="0.35">
      <c r="A181" t="s">
        <v>15</v>
      </c>
      <c r="B181">
        <v>90000</v>
      </c>
    </row>
    <row r="186" spans="1:5" x14ac:dyDescent="0.35">
      <c r="A186" t="s">
        <v>109</v>
      </c>
    </row>
    <row r="200" spans="1:5" x14ac:dyDescent="0.35">
      <c r="A200" t="s">
        <v>110</v>
      </c>
    </row>
    <row r="202" spans="1:5" x14ac:dyDescent="0.35">
      <c r="A202" t="s">
        <v>32</v>
      </c>
      <c r="B202" s="8" t="s">
        <v>35</v>
      </c>
      <c r="D202" s="5" t="s">
        <v>105</v>
      </c>
      <c r="E202" t="s">
        <v>111</v>
      </c>
    </row>
    <row r="203" spans="1:5" x14ac:dyDescent="0.35">
      <c r="A203" t="s">
        <v>37</v>
      </c>
      <c r="B203">
        <v>85</v>
      </c>
      <c r="D203" s="6" t="s">
        <v>39</v>
      </c>
      <c r="E203" s="7">
        <v>72</v>
      </c>
    </row>
    <row r="204" spans="1:5" x14ac:dyDescent="0.35">
      <c r="A204" t="s">
        <v>38</v>
      </c>
      <c r="B204">
        <v>90</v>
      </c>
      <c r="D204" s="6" t="s">
        <v>40</v>
      </c>
      <c r="E204" s="7">
        <v>94</v>
      </c>
    </row>
    <row r="205" spans="1:5" x14ac:dyDescent="0.35">
      <c r="A205" t="s">
        <v>39</v>
      </c>
      <c r="B205">
        <v>72</v>
      </c>
      <c r="D205" s="6" t="s">
        <v>37</v>
      </c>
      <c r="E205" s="7">
        <v>85</v>
      </c>
    </row>
    <row r="206" spans="1:5" x14ac:dyDescent="0.35">
      <c r="A206" t="s">
        <v>40</v>
      </c>
      <c r="B206">
        <v>94</v>
      </c>
      <c r="D206" s="6" t="s">
        <v>38</v>
      </c>
      <c r="E206" s="7">
        <v>90</v>
      </c>
    </row>
    <row r="207" spans="1:5" x14ac:dyDescent="0.35">
      <c r="A207" t="s">
        <v>41</v>
      </c>
      <c r="B207">
        <v>58</v>
      </c>
      <c r="D207" s="6" t="s">
        <v>41</v>
      </c>
      <c r="E207" s="7">
        <v>58</v>
      </c>
    </row>
    <row r="208" spans="1:5" x14ac:dyDescent="0.35">
      <c r="D208" s="6" t="s">
        <v>106</v>
      </c>
      <c r="E208" s="7">
        <v>399</v>
      </c>
    </row>
    <row r="214" spans="1:4" x14ac:dyDescent="0.35">
      <c r="A214" t="s">
        <v>112</v>
      </c>
    </row>
    <row r="216" spans="1:4" x14ac:dyDescent="0.35">
      <c r="A216" t="s">
        <v>32</v>
      </c>
      <c r="B216" t="s">
        <v>34</v>
      </c>
      <c r="C216" t="s">
        <v>114</v>
      </c>
      <c r="D216" t="s">
        <v>113</v>
      </c>
    </row>
    <row r="217" spans="1:4" x14ac:dyDescent="0.35">
      <c r="A217" t="s">
        <v>37</v>
      </c>
      <c r="B217">
        <v>82</v>
      </c>
      <c r="C217">
        <v>60</v>
      </c>
      <c r="D217">
        <f>MEDIAN(C217:C221)</f>
        <v>82</v>
      </c>
    </row>
    <row r="218" spans="1:4" x14ac:dyDescent="0.35">
      <c r="A218" t="s">
        <v>38</v>
      </c>
      <c r="B218">
        <v>91</v>
      </c>
      <c r="C218">
        <v>70</v>
      </c>
    </row>
    <row r="219" spans="1:4" x14ac:dyDescent="0.35">
      <c r="A219" t="s">
        <v>39</v>
      </c>
      <c r="B219">
        <v>70</v>
      </c>
      <c r="C219">
        <v>82</v>
      </c>
    </row>
    <row r="220" spans="1:4" x14ac:dyDescent="0.35">
      <c r="A220" t="s">
        <v>40</v>
      </c>
      <c r="B220">
        <v>89</v>
      </c>
      <c r="C220">
        <v>89</v>
      </c>
    </row>
    <row r="221" spans="1:4" x14ac:dyDescent="0.35">
      <c r="A221" t="s">
        <v>41</v>
      </c>
      <c r="B221">
        <v>60</v>
      </c>
      <c r="C221">
        <v>91</v>
      </c>
    </row>
    <row r="224" spans="1:4" x14ac:dyDescent="0.35">
      <c r="A224" t="s">
        <v>115</v>
      </c>
    </row>
    <row r="226" spans="1:3" x14ac:dyDescent="0.35">
      <c r="A226" t="s">
        <v>32</v>
      </c>
      <c r="B226" s="8" t="s">
        <v>35</v>
      </c>
      <c r="C226" t="s">
        <v>116</v>
      </c>
    </row>
    <row r="227" spans="1:3" x14ac:dyDescent="0.35">
      <c r="A227" t="s">
        <v>37</v>
      </c>
      <c r="B227">
        <v>85</v>
      </c>
      <c r="C227">
        <f>_xlfn.STDEV.S(B227:B231)</f>
        <v>14.737706741552426</v>
      </c>
    </row>
    <row r="228" spans="1:3" x14ac:dyDescent="0.35">
      <c r="A228" t="s">
        <v>38</v>
      </c>
      <c r="B228">
        <v>90</v>
      </c>
    </row>
    <row r="229" spans="1:3" x14ac:dyDescent="0.35">
      <c r="A229" t="s">
        <v>39</v>
      </c>
      <c r="B229">
        <v>72</v>
      </c>
    </row>
    <row r="230" spans="1:3" x14ac:dyDescent="0.35">
      <c r="A230" t="s">
        <v>40</v>
      </c>
      <c r="B230">
        <v>94</v>
      </c>
    </row>
    <row r="231" spans="1:3" x14ac:dyDescent="0.35">
      <c r="A231" t="s">
        <v>41</v>
      </c>
      <c r="B231">
        <v>58</v>
      </c>
    </row>
    <row r="233" spans="1:3" x14ac:dyDescent="0.35">
      <c r="A233" t="s">
        <v>117</v>
      </c>
    </row>
    <row r="235" spans="1:3" x14ac:dyDescent="0.35">
      <c r="A235" t="s">
        <v>31</v>
      </c>
      <c r="B235" t="s">
        <v>32</v>
      </c>
      <c r="C235" t="s">
        <v>118</v>
      </c>
    </row>
    <row r="236" spans="1:3" x14ac:dyDescent="0.35">
      <c r="A236">
        <v>1</v>
      </c>
      <c r="B236" t="s">
        <v>37</v>
      </c>
      <c r="C236" t="str">
        <f>CONCATENATE(A236,B236)</f>
        <v>1Rahul</v>
      </c>
    </row>
    <row r="237" spans="1:3" x14ac:dyDescent="0.35">
      <c r="A237">
        <v>2</v>
      </c>
      <c r="B237" t="s">
        <v>38</v>
      </c>
      <c r="C237" t="str">
        <f t="shared" ref="C237:C240" si="7">CONCATENATE(A237,B237)</f>
        <v>2Sneha</v>
      </c>
    </row>
    <row r="238" spans="1:3" x14ac:dyDescent="0.35">
      <c r="A238">
        <v>3</v>
      </c>
      <c r="B238" t="s">
        <v>39</v>
      </c>
      <c r="C238" t="str">
        <f t="shared" si="7"/>
        <v>3Arjun</v>
      </c>
    </row>
    <row r="239" spans="1:3" x14ac:dyDescent="0.35">
      <c r="A239">
        <v>4</v>
      </c>
      <c r="B239" t="s">
        <v>40</v>
      </c>
      <c r="C239" t="str">
        <f t="shared" si="7"/>
        <v>4Pooja</v>
      </c>
    </row>
    <row r="240" spans="1:3" x14ac:dyDescent="0.35">
      <c r="A240">
        <v>5</v>
      </c>
      <c r="B240" t="s">
        <v>41</v>
      </c>
      <c r="C240" t="str">
        <f t="shared" si="7"/>
        <v>5Vikas</v>
      </c>
    </row>
    <row r="243" spans="1:2" x14ac:dyDescent="0.35">
      <c r="A243" t="s">
        <v>119</v>
      </c>
    </row>
    <row r="245" spans="1:2" x14ac:dyDescent="0.35">
      <c r="A245" t="s">
        <v>6</v>
      </c>
      <c r="B245" t="s">
        <v>120</v>
      </c>
    </row>
    <row r="246" spans="1:2" x14ac:dyDescent="0.35">
      <c r="A246" t="s">
        <v>12</v>
      </c>
      <c r="B246" t="str">
        <f>LEFT(A246,2)</f>
        <v>Am</v>
      </c>
    </row>
    <row r="247" spans="1:2" x14ac:dyDescent="0.35">
      <c r="A247" t="s">
        <v>16</v>
      </c>
      <c r="B247" t="str">
        <f t="shared" ref="B247:B251" si="8">LEFT(A247,2)</f>
        <v>Ri</v>
      </c>
    </row>
    <row r="248" spans="1:2" x14ac:dyDescent="0.35">
      <c r="A248" t="s">
        <v>20</v>
      </c>
      <c r="B248" t="str">
        <f t="shared" si="8"/>
        <v>Ku</v>
      </c>
    </row>
    <row r="249" spans="1:2" x14ac:dyDescent="0.35">
      <c r="A249" t="s">
        <v>24</v>
      </c>
      <c r="B249" t="str">
        <f t="shared" si="8"/>
        <v>Ne</v>
      </c>
    </row>
    <row r="250" spans="1:2" x14ac:dyDescent="0.35">
      <c r="A250" t="s">
        <v>12</v>
      </c>
      <c r="B250" t="str">
        <f t="shared" si="8"/>
        <v>Am</v>
      </c>
    </row>
    <row r="251" spans="1:2" x14ac:dyDescent="0.35">
      <c r="A251" t="s">
        <v>16</v>
      </c>
      <c r="B251" t="str">
        <f t="shared" si="8"/>
        <v>Ri</v>
      </c>
    </row>
    <row r="254" spans="1:2" x14ac:dyDescent="0.35">
      <c r="A254" t="s">
        <v>121</v>
      </c>
    </row>
    <row r="256" spans="1:2" x14ac:dyDescent="0.35">
      <c r="A256" t="s">
        <v>7</v>
      </c>
      <c r="B256" t="s">
        <v>78</v>
      </c>
    </row>
    <row r="257" spans="1:2" x14ac:dyDescent="0.35">
      <c r="A257" t="s">
        <v>13</v>
      </c>
      <c r="B257">
        <v>106200</v>
      </c>
    </row>
    <row r="258" spans="1:2" x14ac:dyDescent="0.35">
      <c r="A258" t="s">
        <v>17</v>
      </c>
      <c r="B258">
        <v>84000</v>
      </c>
    </row>
    <row r="259" spans="1:2" x14ac:dyDescent="0.35">
      <c r="A259" t="s">
        <v>21</v>
      </c>
      <c r="B259">
        <v>60480</v>
      </c>
    </row>
    <row r="260" spans="1:2" x14ac:dyDescent="0.35">
      <c r="A260" t="s">
        <v>13</v>
      </c>
      <c r="B260">
        <v>53100</v>
      </c>
    </row>
    <row r="261" spans="1:2" x14ac:dyDescent="0.35">
      <c r="A261" t="s">
        <v>17</v>
      </c>
      <c r="B261">
        <v>67200</v>
      </c>
    </row>
    <row r="262" spans="1:2" x14ac:dyDescent="0.35">
      <c r="A262" t="s">
        <v>13</v>
      </c>
      <c r="B262">
        <v>106200</v>
      </c>
    </row>
    <row r="265" spans="1:2" x14ac:dyDescent="0.35">
      <c r="A265" t="s">
        <v>122</v>
      </c>
    </row>
    <row r="267" spans="1:2" x14ac:dyDescent="0.35">
      <c r="A267" t="s">
        <v>7</v>
      </c>
      <c r="B267" t="s">
        <v>8</v>
      </c>
    </row>
    <row r="268" spans="1:2" x14ac:dyDescent="0.35">
      <c r="A268" t="s">
        <v>13</v>
      </c>
      <c r="B268">
        <v>2</v>
      </c>
    </row>
    <row r="269" spans="1:2" hidden="1" x14ac:dyDescent="0.35">
      <c r="A269" t="s">
        <v>17</v>
      </c>
      <c r="B269">
        <v>5</v>
      </c>
    </row>
    <row r="270" spans="1:2" hidden="1" x14ac:dyDescent="0.35">
      <c r="A270" t="s">
        <v>21</v>
      </c>
      <c r="B270">
        <v>3</v>
      </c>
    </row>
    <row r="271" spans="1:2" hidden="1" x14ac:dyDescent="0.35">
      <c r="A271" t="s">
        <v>13</v>
      </c>
      <c r="B271">
        <v>1</v>
      </c>
    </row>
    <row r="272" spans="1:2" hidden="1" x14ac:dyDescent="0.35">
      <c r="A272" t="s">
        <v>17</v>
      </c>
      <c r="B272">
        <v>4</v>
      </c>
    </row>
    <row r="273" spans="1:4" x14ac:dyDescent="0.35">
      <c r="A273" t="s">
        <v>13</v>
      </c>
      <c r="B273">
        <v>2</v>
      </c>
    </row>
    <row r="275" spans="1:4" x14ac:dyDescent="0.35">
      <c r="A275" t="s">
        <v>123</v>
      </c>
    </row>
    <row r="277" spans="1:4" x14ac:dyDescent="0.35">
      <c r="B277" t="s">
        <v>5</v>
      </c>
      <c r="C277" t="s">
        <v>7</v>
      </c>
      <c r="D277" t="s">
        <v>124</v>
      </c>
    </row>
    <row r="278" spans="1:4" x14ac:dyDescent="0.35">
      <c r="B278" t="s">
        <v>11</v>
      </c>
      <c r="C278" t="s">
        <v>13</v>
      </c>
      <c r="D278">
        <f>COUNTIFS(B278:B283,"North",C278:C283,"Laptop")</f>
        <v>1</v>
      </c>
    </row>
    <row r="279" spans="1:4" x14ac:dyDescent="0.35">
      <c r="B279" t="s">
        <v>15</v>
      </c>
      <c r="C279" t="s">
        <v>17</v>
      </c>
    </row>
    <row r="280" spans="1:4" x14ac:dyDescent="0.35">
      <c r="B280" t="s">
        <v>19</v>
      </c>
      <c r="C280" t="s">
        <v>21</v>
      </c>
    </row>
    <row r="281" spans="1:4" x14ac:dyDescent="0.35">
      <c r="B281" t="s">
        <v>23</v>
      </c>
      <c r="C281" t="s">
        <v>13</v>
      </c>
    </row>
    <row r="282" spans="1:4" x14ac:dyDescent="0.35">
      <c r="B282" t="s">
        <v>11</v>
      </c>
      <c r="C282" t="s">
        <v>17</v>
      </c>
    </row>
    <row r="283" spans="1:4" x14ac:dyDescent="0.35">
      <c r="B283" t="s">
        <v>15</v>
      </c>
      <c r="C283" t="s">
        <v>13</v>
      </c>
    </row>
    <row r="286" spans="1:4" x14ac:dyDescent="0.35">
      <c r="A286" t="s">
        <v>125</v>
      </c>
    </row>
    <row r="288" spans="1:4" x14ac:dyDescent="0.35">
      <c r="A288" t="s">
        <v>9</v>
      </c>
      <c r="B288" t="s">
        <v>126</v>
      </c>
    </row>
    <row r="289" spans="1:7" x14ac:dyDescent="0.35">
      <c r="A289">
        <v>45000</v>
      </c>
      <c r="B289">
        <f>ROUND(A289,-3)</f>
        <v>45000</v>
      </c>
    </row>
    <row r="290" spans="1:7" x14ac:dyDescent="0.35">
      <c r="A290">
        <v>15000</v>
      </c>
      <c r="B290">
        <f t="shared" ref="B290:B294" si="9">ROUND(A290,-3)</f>
        <v>15000</v>
      </c>
    </row>
    <row r="291" spans="1:7" x14ac:dyDescent="0.35">
      <c r="A291">
        <v>18000</v>
      </c>
      <c r="B291">
        <f t="shared" si="9"/>
        <v>18000</v>
      </c>
    </row>
    <row r="292" spans="1:7" x14ac:dyDescent="0.35">
      <c r="A292">
        <v>45000</v>
      </c>
      <c r="B292">
        <f t="shared" si="9"/>
        <v>45000</v>
      </c>
    </row>
    <row r="293" spans="1:7" x14ac:dyDescent="0.35">
      <c r="A293">
        <v>15000</v>
      </c>
      <c r="B293">
        <f t="shared" si="9"/>
        <v>15000</v>
      </c>
    </row>
    <row r="294" spans="1:7" x14ac:dyDescent="0.35">
      <c r="A294">
        <v>45000</v>
      </c>
      <c r="B294">
        <f t="shared" si="9"/>
        <v>45000</v>
      </c>
    </row>
    <row r="297" spans="1:7" x14ac:dyDescent="0.35">
      <c r="A297" t="s">
        <v>127</v>
      </c>
    </row>
    <row r="299" spans="1:7" x14ac:dyDescent="0.35">
      <c r="A299" t="s">
        <v>4</v>
      </c>
      <c r="B299" t="s">
        <v>5</v>
      </c>
      <c r="C299" t="s">
        <v>6</v>
      </c>
      <c r="D299" t="s">
        <v>7</v>
      </c>
      <c r="E299" t="s">
        <v>8</v>
      </c>
      <c r="F299" t="s">
        <v>9</v>
      </c>
      <c r="G299" t="s">
        <v>10</v>
      </c>
    </row>
    <row r="300" spans="1:7" x14ac:dyDescent="0.35">
      <c r="A300">
        <v>301</v>
      </c>
      <c r="B300" t="s">
        <v>11</v>
      </c>
      <c r="C300" t="s">
        <v>12</v>
      </c>
      <c r="D300" t="s">
        <v>13</v>
      </c>
      <c r="E300">
        <v>2</v>
      </c>
      <c r="F300">
        <v>45000</v>
      </c>
      <c r="G300" t="s">
        <v>14</v>
      </c>
    </row>
    <row r="301" spans="1:7" x14ac:dyDescent="0.35">
      <c r="A301">
        <v>302</v>
      </c>
      <c r="B301" t="s">
        <v>15</v>
      </c>
      <c r="C301" t="s">
        <v>16</v>
      </c>
      <c r="D301" t="s">
        <v>17</v>
      </c>
      <c r="E301">
        <v>5</v>
      </c>
      <c r="F301">
        <v>15000</v>
      </c>
      <c r="G301" t="s">
        <v>18</v>
      </c>
    </row>
    <row r="302" spans="1:7" x14ac:dyDescent="0.35">
      <c r="A302">
        <v>303</v>
      </c>
      <c r="B302" t="s">
        <v>19</v>
      </c>
      <c r="C302" t="s">
        <v>20</v>
      </c>
      <c r="D302" t="s">
        <v>21</v>
      </c>
      <c r="E302">
        <v>3</v>
      </c>
      <c r="F302">
        <v>18000</v>
      </c>
      <c r="G302" t="s">
        <v>22</v>
      </c>
    </row>
    <row r="303" spans="1:7" x14ac:dyDescent="0.35">
      <c r="A303">
        <v>304</v>
      </c>
      <c r="B303" t="s">
        <v>23</v>
      </c>
      <c r="C303" t="s">
        <v>24</v>
      </c>
      <c r="E303">
        <v>1</v>
      </c>
      <c r="G303" t="s">
        <v>25</v>
      </c>
    </row>
    <row r="304" spans="1:7" x14ac:dyDescent="0.35">
      <c r="A304">
        <v>305</v>
      </c>
      <c r="E304">
        <v>4</v>
      </c>
      <c r="G304" t="s">
        <v>26</v>
      </c>
    </row>
    <row r="305" spans="1:7" x14ac:dyDescent="0.35">
      <c r="A305">
        <v>306</v>
      </c>
      <c r="G305" t="s">
        <v>27</v>
      </c>
    </row>
    <row r="308" spans="1:7" x14ac:dyDescent="0.35">
      <c r="A308" t="s">
        <v>128</v>
      </c>
    </row>
    <row r="310" spans="1:7" x14ac:dyDescent="0.35">
      <c r="A310" t="s">
        <v>130</v>
      </c>
    </row>
    <row r="312" spans="1:7" x14ac:dyDescent="0.35">
      <c r="A312" t="s">
        <v>129</v>
      </c>
    </row>
    <row r="314" spans="1:7" x14ac:dyDescent="0.35">
      <c r="A314" t="s">
        <v>131</v>
      </c>
    </row>
  </sheetData>
  <autoFilter ref="A267:B273">
    <filterColumn colId="0">
      <filters>
        <filter val="Laptop"/>
      </filters>
    </filterColumn>
    <filterColumn colId="1">
      <customFilters>
        <customFilter operator="greaterThan" val="1"/>
      </customFilters>
    </filterColumn>
  </autoFilter>
  <sortState ref="C217:C221">
    <sortCondition ref="C217"/>
  </sortState>
  <conditionalFormatting sqref="B257:B262">
    <cfRule type="cellIs" dxfId="0" priority="1" operator="greaterThan">
      <formula>60000</formula>
    </cfRule>
  </conditionalFormatting>
  <dataValidations count="1">
    <dataValidation type="list" allowBlank="1" showInputMessage="1" showErrorMessage="1" sqref="A117">
      <formula1>$A$112:$A$114</formula1>
    </dataValidation>
  </dataValidations>
  <pageMargins left="0.7" right="0.7" top="0.75" bottom="0.75" header="0.3" footer="0.3"/>
  <pageSetup orientation="portrait" r:id="rId4"/>
  <drawing r:id="rId5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2025-12-20T09:26:06Z</dcterms:created>
  <dcterms:modified xsi:type="dcterms:W3CDTF">2026-07-14T04:45:26Z</dcterms:modified>
</cp:coreProperties>
</file>