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DC10\Downloads\"/>
    </mc:Choice>
  </mc:AlternateContent>
  <xr:revisionPtr revIDLastSave="0" documentId="13_ncr:1_{CA5D237D-6F4C-455D-A778-50AEFA52CA6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1" sheetId="6" r:id="rId6"/>
  </sheets>
  <definedNames>
    <definedName name="_xlnm._FilterDatabase" localSheetId="5" hidden="1">Sheet1!$A$99:$G$104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0" i="6" l="1"/>
  <c r="G101" i="6"/>
  <c r="G102" i="6"/>
  <c r="G103" i="6"/>
  <c r="G104" i="6"/>
  <c r="G100" i="6"/>
  <c r="B73" i="6"/>
  <c r="B74" i="6"/>
  <c r="B75" i="6"/>
  <c r="B76" i="6"/>
  <c r="B77" i="6"/>
  <c r="B72" i="6"/>
  <c r="D63" i="6"/>
  <c r="C63" i="6"/>
  <c r="C54" i="6"/>
  <c r="C55" i="6"/>
  <c r="C56" i="6"/>
  <c r="C57" i="6"/>
  <c r="C58" i="6"/>
  <c r="B54" i="6"/>
  <c r="B55" i="6"/>
  <c r="B56" i="6"/>
  <c r="B57" i="6"/>
  <c r="B58" i="6"/>
  <c r="B53" i="6"/>
  <c r="C53" i="6"/>
  <c r="C46" i="6"/>
  <c r="C47" i="6"/>
  <c r="C48" i="6"/>
  <c r="C45" i="6"/>
  <c r="E13" i="6"/>
  <c r="D14" i="6"/>
  <c r="D15" i="6"/>
  <c r="D13" i="6"/>
  <c r="B35" i="6"/>
  <c r="B30" i="6"/>
  <c r="D20" i="6"/>
  <c r="E20" i="6" s="1"/>
  <c r="D21" i="6"/>
  <c r="E21" i="6" s="1"/>
  <c r="D22" i="6"/>
  <c r="E22" i="6" s="1"/>
  <c r="C3" i="6"/>
  <c r="C4" i="6"/>
  <c r="C5" i="6"/>
  <c r="C6" i="6"/>
  <c r="C7" i="6"/>
  <c r="C8" i="6"/>
  <c r="J32" i="5"/>
</calcChain>
</file>

<file path=xl/sharedStrings.xml><?xml version="1.0" encoding="utf-8"?>
<sst xmlns="http://schemas.openxmlformats.org/spreadsheetml/2006/main" count="203" uniqueCount="89">
  <si>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</si>
  <si>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</si>
  <si>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</si>
  <si>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</si>
  <si>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</si>
  <si>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</si>
  <si>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</si>
  <si>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</si>
  <si>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</si>
  <si>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</si>
  <si>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</si>
  <si>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</si>
  <si>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</si>
  <si>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</si>
  <si>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</si>
  <si>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</si>
  <si>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</si>
  <si>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</si>
  <si>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</si>
  <si>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</si>
  <si>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</si>
  <si>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</si>
  <si>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</si>
  <si>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</si>
  <si>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</si>
  <si>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</si>
  <si>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</si>
  <si>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</si>
  <si>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</si>
  <si>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</si>
  <si>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</si>
  <si>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</si>
  <si>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</si>
  <si>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</si>
  <si>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</si>
  <si>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</si>
  <si>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</si>
  <si>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</si>
  <si>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</si>
  <si>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</si>
  <si>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</si>
  <si>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</si>
  <si>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</si>
  <si>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</si>
  <si>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</si>
  <si>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</si>
  <si>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</si>
  <si>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</si>
  <si>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</si>
  <si>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</si>
  <si>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</si>
  <si>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</si>
  <si>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</si>
  <si>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</si>
  <si>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</si>
  <si>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</si>
  <si>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</si>
  <si>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</si>
  <si>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</si>
  <si>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</si>
  <si>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</si>
  <si>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</si>
  <si>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</si>
  <si>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</si>
  <si>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</si>
  <si>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</si>
  <si>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</si>
  <si>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</si>
  <si>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</si>
  <si>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</si>
  <si>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</si>
  <si>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</si>
  <si>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</si>
  <si>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total sale </t>
  </si>
  <si>
    <t>price</t>
  </si>
  <si>
    <t>gst</t>
  </si>
  <si>
    <t>gst amount</t>
  </si>
  <si>
    <t>payble</t>
  </si>
  <si>
    <t>sale+gst</t>
  </si>
  <si>
    <t>grand total</t>
  </si>
  <si>
    <t>total order</t>
  </si>
  <si>
    <t>&gt;3</t>
  </si>
  <si>
    <t>&lt;=3</t>
  </si>
  <si>
    <t>maximum</t>
  </si>
  <si>
    <t>minimum</t>
  </si>
  <si>
    <t>month</t>
  </si>
  <si>
    <t>match</t>
  </si>
  <si>
    <t>avarage</t>
  </si>
  <si>
    <t>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</si>
</sst>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B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topLeftCell="A5" workbookViewId="0">
      <selection activeCell="C13" sqref="C13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23B1-98AD-410C-9B20-AEB0E5ADB621}">
  <dimension ref="A1:H116"/>
  <sheetViews>
    <sheetView topLeftCell="A104" workbookViewId="0">
      <selection activeCell="E110" sqref="E110"/>
    </sheetView>
  </sheetViews>
  <sheetFormatPr defaultRowHeight="15" x14ac:dyDescent="0.25"/>
  <cols>
    <col min="1" max="1" width="10.5703125" bestFit="1" customWidth="1"/>
    <col min="2" max="2" width="9.5703125" bestFit="1" customWidth="1"/>
    <col min="6" max="6" width="14" bestFit="1" customWidth="1"/>
    <col min="7" max="7" width="11.5703125" bestFit="1" customWidth="1"/>
  </cols>
  <sheetData>
    <row r="1" spans="1:5" x14ac:dyDescent="0.25">
      <c r="A1">
        <v>1</v>
      </c>
    </row>
    <row r="2" spans="1:5" x14ac:dyDescent="0.25">
      <c r="A2" t="s">
        <v>8</v>
      </c>
      <c r="B2" t="s">
        <v>9</v>
      </c>
      <c r="C2" t="s">
        <v>73</v>
      </c>
      <c r="D2" t="s">
        <v>7</v>
      </c>
    </row>
    <row r="3" spans="1:5" x14ac:dyDescent="0.25">
      <c r="A3">
        <v>2</v>
      </c>
      <c r="B3">
        <v>45000</v>
      </c>
      <c r="C3">
        <f>SUM(A3*B3)</f>
        <v>90000</v>
      </c>
      <c r="D3" t="s">
        <v>13</v>
      </c>
    </row>
    <row r="4" spans="1:5" x14ac:dyDescent="0.25">
      <c r="A4">
        <v>5</v>
      </c>
      <c r="B4">
        <v>15000</v>
      </c>
      <c r="C4">
        <f t="shared" ref="C4:C8" si="0">SUM(A4*B4)</f>
        <v>75000</v>
      </c>
      <c r="D4" t="s">
        <v>17</v>
      </c>
    </row>
    <row r="5" spans="1:5" x14ac:dyDescent="0.25">
      <c r="A5">
        <v>3</v>
      </c>
      <c r="B5">
        <v>18000</v>
      </c>
      <c r="C5">
        <f t="shared" si="0"/>
        <v>54000</v>
      </c>
      <c r="D5" t="s">
        <v>21</v>
      </c>
    </row>
    <row r="6" spans="1:5" x14ac:dyDescent="0.25">
      <c r="A6">
        <v>1</v>
      </c>
      <c r="B6">
        <v>45000</v>
      </c>
      <c r="C6">
        <f t="shared" si="0"/>
        <v>45000</v>
      </c>
      <c r="D6" t="s">
        <v>13</v>
      </c>
    </row>
    <row r="7" spans="1:5" x14ac:dyDescent="0.25">
      <c r="A7">
        <v>4</v>
      </c>
      <c r="B7">
        <v>15000</v>
      </c>
      <c r="C7">
        <f t="shared" si="0"/>
        <v>60000</v>
      </c>
      <c r="D7" t="s">
        <v>17</v>
      </c>
    </row>
    <row r="8" spans="1:5" x14ac:dyDescent="0.25">
      <c r="A8">
        <v>2</v>
      </c>
      <c r="B8">
        <v>45000</v>
      </c>
      <c r="C8">
        <f t="shared" si="0"/>
        <v>90000</v>
      </c>
      <c r="D8" t="s">
        <v>13</v>
      </c>
    </row>
    <row r="10" spans="1:5" x14ac:dyDescent="0.25">
      <c r="A10">
        <v>2</v>
      </c>
    </row>
    <row r="12" spans="1:5" x14ac:dyDescent="0.25">
      <c r="A12" t="s">
        <v>7</v>
      </c>
      <c r="B12" t="s">
        <v>74</v>
      </c>
      <c r="C12" t="s">
        <v>29</v>
      </c>
      <c r="D12" t="s">
        <v>76</v>
      </c>
      <c r="E12" t="s">
        <v>75</v>
      </c>
    </row>
    <row r="13" spans="1:5" x14ac:dyDescent="0.25">
      <c r="A13" t="s">
        <v>13</v>
      </c>
      <c r="B13">
        <v>45000</v>
      </c>
      <c r="C13">
        <v>18</v>
      </c>
      <c r="D13">
        <f>B13*C13/100</f>
        <v>8100</v>
      </c>
      <c r="E13">
        <f>VLOOKUP(A13,Product_Master!A1:C4,3,FALSE)</f>
        <v>18</v>
      </c>
    </row>
    <row r="14" spans="1:5" x14ac:dyDescent="0.25">
      <c r="A14" t="s">
        <v>17</v>
      </c>
      <c r="B14">
        <v>15000</v>
      </c>
      <c r="C14">
        <v>12</v>
      </c>
      <c r="D14">
        <f t="shared" ref="D14:D15" si="1">B14*C14/100</f>
        <v>1800</v>
      </c>
    </row>
    <row r="15" spans="1:5" x14ac:dyDescent="0.25">
      <c r="A15" t="s">
        <v>21</v>
      </c>
      <c r="B15">
        <v>45000</v>
      </c>
      <c r="C15">
        <v>12</v>
      </c>
      <c r="D15">
        <f t="shared" si="1"/>
        <v>5400</v>
      </c>
    </row>
    <row r="17" spans="1:5" x14ac:dyDescent="0.25">
      <c r="A17">
        <v>3</v>
      </c>
    </row>
    <row r="19" spans="1:5" x14ac:dyDescent="0.25">
      <c r="A19" t="s">
        <v>7</v>
      </c>
      <c r="B19" t="s">
        <v>74</v>
      </c>
      <c r="C19" t="s">
        <v>29</v>
      </c>
      <c r="D19" t="s">
        <v>78</v>
      </c>
      <c r="E19" t="s">
        <v>77</v>
      </c>
    </row>
    <row r="20" spans="1:5" x14ac:dyDescent="0.25">
      <c r="A20" t="s">
        <v>13</v>
      </c>
      <c r="B20">
        <v>45000</v>
      </c>
      <c r="C20">
        <v>18</v>
      </c>
      <c r="D20">
        <f>B20*C20/100</f>
        <v>8100</v>
      </c>
      <c r="E20">
        <f>B20+D20</f>
        <v>53100</v>
      </c>
    </row>
    <row r="21" spans="1:5" x14ac:dyDescent="0.25">
      <c r="A21" t="s">
        <v>17</v>
      </c>
      <c r="B21">
        <v>15000</v>
      </c>
      <c r="C21">
        <v>12</v>
      </c>
      <c r="D21">
        <f t="shared" ref="D21:D22" si="2">B21*C21/100</f>
        <v>1800</v>
      </c>
      <c r="E21">
        <f t="shared" ref="E21:E22" si="3">B21+D21</f>
        <v>16800</v>
      </c>
    </row>
    <row r="22" spans="1:5" x14ac:dyDescent="0.25">
      <c r="A22" t="s">
        <v>21</v>
      </c>
      <c r="B22">
        <v>18000</v>
      </c>
      <c r="C22">
        <v>12</v>
      </c>
      <c r="D22">
        <f t="shared" si="2"/>
        <v>2160</v>
      </c>
      <c r="E22">
        <f t="shared" si="3"/>
        <v>20160</v>
      </c>
    </row>
    <row r="24" spans="1:5" x14ac:dyDescent="0.25">
      <c r="A24">
        <v>4</v>
      </c>
    </row>
    <row r="26" spans="1:5" x14ac:dyDescent="0.25">
      <c r="A26" t="s">
        <v>7</v>
      </c>
      <c r="B26" t="s">
        <v>74</v>
      </c>
    </row>
    <row r="27" spans="1:5" x14ac:dyDescent="0.25">
      <c r="A27" t="s">
        <v>13</v>
      </c>
      <c r="B27">
        <v>53100</v>
      </c>
    </row>
    <row r="28" spans="1:5" x14ac:dyDescent="0.25">
      <c r="A28" t="s">
        <v>17</v>
      </c>
      <c r="B28">
        <v>16800</v>
      </c>
    </row>
    <row r="29" spans="1:5" x14ac:dyDescent="0.25">
      <c r="A29" t="s">
        <v>21</v>
      </c>
      <c r="B29">
        <v>20160</v>
      </c>
    </row>
    <row r="30" spans="1:5" x14ac:dyDescent="0.25">
      <c r="A30" t="s">
        <v>79</v>
      </c>
      <c r="B30">
        <f>B27+B28+B29</f>
        <v>90060</v>
      </c>
    </row>
    <row r="32" spans="1:5" x14ac:dyDescent="0.25">
      <c r="A32">
        <v>5</v>
      </c>
    </row>
    <row r="34" spans="1:3" x14ac:dyDescent="0.25">
      <c r="A34" t="s">
        <v>4</v>
      </c>
      <c r="B34" t="s">
        <v>80</v>
      </c>
    </row>
    <row r="35" spans="1:3" x14ac:dyDescent="0.25">
      <c r="A35">
        <v>301</v>
      </c>
      <c r="B35">
        <f>COUNTA(A35:A40)</f>
        <v>6</v>
      </c>
    </row>
    <row r="36" spans="1:3" x14ac:dyDescent="0.25">
      <c r="A36">
        <v>302</v>
      </c>
    </row>
    <row r="37" spans="1:3" x14ac:dyDescent="0.25">
      <c r="A37">
        <v>303</v>
      </c>
    </row>
    <row r="38" spans="1:3" x14ac:dyDescent="0.25">
      <c r="A38">
        <v>304</v>
      </c>
    </row>
    <row r="39" spans="1:3" x14ac:dyDescent="0.25">
      <c r="A39">
        <v>305</v>
      </c>
    </row>
    <row r="40" spans="1:3" x14ac:dyDescent="0.25">
      <c r="A40">
        <v>306</v>
      </c>
    </row>
    <row r="42" spans="1:3" x14ac:dyDescent="0.25">
      <c r="A42">
        <v>6</v>
      </c>
    </row>
    <row r="44" spans="1:3" x14ac:dyDescent="0.25">
      <c r="A44" t="s">
        <v>5</v>
      </c>
      <c r="B44" t="s">
        <v>73</v>
      </c>
    </row>
    <row r="45" spans="1:3" x14ac:dyDescent="0.25">
      <c r="A45" t="s">
        <v>11</v>
      </c>
      <c r="B45">
        <v>150000</v>
      </c>
      <c r="C45">
        <f>SUMIF($A$45:$A$48,B45,$B$45:$B$48)</f>
        <v>0</v>
      </c>
    </row>
    <row r="46" spans="1:3" x14ac:dyDescent="0.25">
      <c r="A46" t="s">
        <v>15</v>
      </c>
      <c r="B46">
        <v>165000</v>
      </c>
      <c r="C46">
        <f t="shared" ref="C46:C48" si="4">SUMIF($A$45:$A$48,B46,$B$45:$B$48)</f>
        <v>0</v>
      </c>
    </row>
    <row r="47" spans="1:3" x14ac:dyDescent="0.25">
      <c r="A47" t="s">
        <v>19</v>
      </c>
      <c r="B47">
        <v>54000</v>
      </c>
      <c r="C47">
        <f t="shared" si="4"/>
        <v>0</v>
      </c>
    </row>
    <row r="48" spans="1:3" x14ac:dyDescent="0.25">
      <c r="A48" t="s">
        <v>23</v>
      </c>
      <c r="B48">
        <v>45000</v>
      </c>
      <c r="C48">
        <f t="shared" si="4"/>
        <v>0</v>
      </c>
    </row>
    <row r="50" spans="1:4" x14ac:dyDescent="0.25">
      <c r="A50">
        <v>7</v>
      </c>
    </row>
    <row r="52" spans="1:4" x14ac:dyDescent="0.25">
      <c r="A52" t="s">
        <v>8</v>
      </c>
      <c r="B52" t="s">
        <v>81</v>
      </c>
      <c r="C52" t="s">
        <v>82</v>
      </c>
    </row>
    <row r="53" spans="1:4" x14ac:dyDescent="0.25">
      <c r="A53">
        <v>2</v>
      </c>
      <c r="B53" t="str">
        <f>IF(Sheet1!A53&gt;3,"low","high")</f>
        <v>high</v>
      </c>
      <c r="C53" t="str">
        <f>IF(A53&lt;=3,"low","high")</f>
        <v>low</v>
      </c>
    </row>
    <row r="54" spans="1:4" x14ac:dyDescent="0.25">
      <c r="A54">
        <v>5</v>
      </c>
      <c r="B54" t="str">
        <f>IF(Sheet1!A54&gt;3,"low","high")</f>
        <v>low</v>
      </c>
      <c r="C54" t="str">
        <f t="shared" ref="C54:C58" si="5">IF(A54&lt;=3,"low","high")</f>
        <v>high</v>
      </c>
    </row>
    <row r="55" spans="1:4" x14ac:dyDescent="0.25">
      <c r="A55">
        <v>3</v>
      </c>
      <c r="B55" t="str">
        <f>IF(Sheet1!A55&gt;3,"low","high")</f>
        <v>high</v>
      </c>
      <c r="C55" t="str">
        <f t="shared" si="5"/>
        <v>low</v>
      </c>
    </row>
    <row r="56" spans="1:4" x14ac:dyDescent="0.25">
      <c r="A56">
        <v>1</v>
      </c>
      <c r="B56" t="str">
        <f>IF(Sheet1!A56&gt;3,"low","high")</f>
        <v>high</v>
      </c>
      <c r="C56" t="str">
        <f t="shared" si="5"/>
        <v>low</v>
      </c>
    </row>
    <row r="57" spans="1:4" x14ac:dyDescent="0.25">
      <c r="A57">
        <v>4</v>
      </c>
      <c r="B57" t="str">
        <f>IF(Sheet1!A57&gt;3,"low","high")</f>
        <v>low</v>
      </c>
      <c r="C57" t="str">
        <f t="shared" si="5"/>
        <v>high</v>
      </c>
    </row>
    <row r="58" spans="1:4" x14ac:dyDescent="0.25">
      <c r="A58">
        <v>2</v>
      </c>
      <c r="B58" t="str">
        <f>IF(Sheet1!A58&gt;3,"low","high")</f>
        <v>high</v>
      </c>
      <c r="C58" t="str">
        <f t="shared" si="5"/>
        <v>low</v>
      </c>
    </row>
    <row r="60" spans="1:4" x14ac:dyDescent="0.25">
      <c r="A60">
        <v>8</v>
      </c>
    </row>
    <row r="62" spans="1:4" x14ac:dyDescent="0.25">
      <c r="A62" t="s">
        <v>5</v>
      </c>
      <c r="B62" t="s">
        <v>73</v>
      </c>
      <c r="C62" t="s">
        <v>83</v>
      </c>
      <c r="D62" t="s">
        <v>84</v>
      </c>
    </row>
    <row r="63" spans="1:4" x14ac:dyDescent="0.25">
      <c r="A63" t="s">
        <v>11</v>
      </c>
      <c r="B63">
        <v>150000</v>
      </c>
      <c r="C63">
        <f>MAX(A63:A66,B63:B66)</f>
        <v>165000</v>
      </c>
      <c r="D63">
        <f>MIN(A63:A66,B63:B66)</f>
        <v>45000</v>
      </c>
    </row>
    <row r="64" spans="1:4" x14ac:dyDescent="0.25">
      <c r="A64" t="s">
        <v>15</v>
      </c>
      <c r="B64">
        <v>165000</v>
      </c>
    </row>
    <row r="65" spans="1:2" x14ac:dyDescent="0.25">
      <c r="A65" t="s">
        <v>19</v>
      </c>
      <c r="B65">
        <v>54000</v>
      </c>
    </row>
    <row r="66" spans="1:2" x14ac:dyDescent="0.25">
      <c r="A66" t="s">
        <v>23</v>
      </c>
      <c r="B66">
        <v>45000</v>
      </c>
    </row>
    <row r="69" spans="1:2" x14ac:dyDescent="0.25">
      <c r="A69">
        <v>9</v>
      </c>
    </row>
    <row r="71" spans="1:2" x14ac:dyDescent="0.25">
      <c r="A71" t="s">
        <v>10</v>
      </c>
      <c r="B71" t="s">
        <v>85</v>
      </c>
    </row>
    <row r="72" spans="1:2" x14ac:dyDescent="0.25">
      <c r="A72" t="s">
        <v>14</v>
      </c>
      <c r="B72" t="str">
        <f>TEXT(A72,"mmm")</f>
        <v>Jan</v>
      </c>
    </row>
    <row r="73" spans="1:2" x14ac:dyDescent="0.25">
      <c r="A73" s="1">
        <v>45754</v>
      </c>
      <c r="B73" t="str">
        <f t="shared" ref="B73:B77" si="6">TEXT(A73,"mmm")</f>
        <v>Apr</v>
      </c>
    </row>
    <row r="74" spans="1:2" x14ac:dyDescent="0.25">
      <c r="A74" t="s">
        <v>22</v>
      </c>
      <c r="B74" t="str">
        <f t="shared" si="6"/>
        <v>Jan</v>
      </c>
    </row>
    <row r="75" spans="1:2" x14ac:dyDescent="0.25">
      <c r="A75" s="1">
        <v>45700</v>
      </c>
      <c r="B75" t="str">
        <f t="shared" si="6"/>
        <v>Feb</v>
      </c>
    </row>
    <row r="76" spans="1:2" x14ac:dyDescent="0.25">
      <c r="A76" t="s">
        <v>26</v>
      </c>
      <c r="B76" t="str">
        <f t="shared" si="6"/>
        <v>Jan</v>
      </c>
    </row>
    <row r="77" spans="1:2" x14ac:dyDescent="0.25">
      <c r="A77" t="s">
        <v>27</v>
      </c>
      <c r="B77" t="str">
        <f t="shared" si="6"/>
        <v>Jan</v>
      </c>
    </row>
    <row r="79" spans="1:2" x14ac:dyDescent="0.25">
      <c r="A79">
        <v>10</v>
      </c>
    </row>
    <row r="81" spans="1:8" x14ac:dyDescent="0.25">
      <c r="A81" t="s">
        <v>4</v>
      </c>
      <c r="B81" t="s">
        <v>5</v>
      </c>
      <c r="C81" t="s">
        <v>6</v>
      </c>
      <c r="D81" t="s">
        <v>7</v>
      </c>
      <c r="E81" t="s">
        <v>8</v>
      </c>
      <c r="F81" t="s">
        <v>9</v>
      </c>
      <c r="G81" t="s">
        <v>10</v>
      </c>
      <c r="H81" t="s">
        <v>73</v>
      </c>
    </row>
    <row r="82" spans="1:8" x14ac:dyDescent="0.25">
      <c r="A82">
        <v>301</v>
      </c>
      <c r="B82" t="s">
        <v>11</v>
      </c>
      <c r="C82" t="s">
        <v>12</v>
      </c>
      <c r="D82" t="s">
        <v>13</v>
      </c>
      <c r="E82">
        <v>2</v>
      </c>
      <c r="F82">
        <v>45000</v>
      </c>
      <c r="G82" t="s">
        <v>14</v>
      </c>
      <c r="H82">
        <v>90000</v>
      </c>
    </row>
    <row r="83" spans="1:8" x14ac:dyDescent="0.25">
      <c r="A83">
        <v>306</v>
      </c>
      <c r="B83" t="s">
        <v>15</v>
      </c>
      <c r="C83" t="s">
        <v>16</v>
      </c>
      <c r="D83" t="s">
        <v>13</v>
      </c>
      <c r="E83">
        <v>2</v>
      </c>
      <c r="F83">
        <v>45000</v>
      </c>
      <c r="G83" t="s">
        <v>27</v>
      </c>
      <c r="H83">
        <v>90000</v>
      </c>
    </row>
    <row r="84" spans="1:8" x14ac:dyDescent="0.25">
      <c r="A84">
        <v>302</v>
      </c>
      <c r="B84" t="s">
        <v>15</v>
      </c>
      <c r="C84" t="s">
        <v>16</v>
      </c>
      <c r="D84" t="s">
        <v>17</v>
      </c>
      <c r="E84">
        <v>5</v>
      </c>
      <c r="F84">
        <v>15000</v>
      </c>
      <c r="G84" t="s">
        <v>18</v>
      </c>
      <c r="H84">
        <v>75000</v>
      </c>
    </row>
    <row r="85" spans="1:8" x14ac:dyDescent="0.25">
      <c r="A85">
        <v>305</v>
      </c>
      <c r="B85" t="s">
        <v>11</v>
      </c>
      <c r="C85" t="s">
        <v>12</v>
      </c>
      <c r="D85" t="s">
        <v>17</v>
      </c>
      <c r="E85">
        <v>4</v>
      </c>
      <c r="F85">
        <v>15000</v>
      </c>
      <c r="G85" t="s">
        <v>26</v>
      </c>
      <c r="H85">
        <v>60000</v>
      </c>
    </row>
    <row r="86" spans="1:8" x14ac:dyDescent="0.25">
      <c r="A86">
        <v>303</v>
      </c>
      <c r="B86" t="s">
        <v>19</v>
      </c>
      <c r="C86" t="s">
        <v>20</v>
      </c>
      <c r="D86" t="s">
        <v>21</v>
      </c>
      <c r="E86">
        <v>3</v>
      </c>
      <c r="F86">
        <v>18000</v>
      </c>
      <c r="G86" t="s">
        <v>22</v>
      </c>
      <c r="H86">
        <v>54000</v>
      </c>
    </row>
    <row r="87" spans="1:8" x14ac:dyDescent="0.25">
      <c r="A87">
        <v>304</v>
      </c>
      <c r="B87" t="s">
        <v>23</v>
      </c>
      <c r="C87" t="s">
        <v>24</v>
      </c>
      <c r="D87" t="s">
        <v>13</v>
      </c>
      <c r="E87">
        <v>1</v>
      </c>
      <c r="F87">
        <v>45000</v>
      </c>
      <c r="G87" t="s">
        <v>25</v>
      </c>
      <c r="H87">
        <v>45000</v>
      </c>
    </row>
    <row r="90" spans="1:8" x14ac:dyDescent="0.25">
      <c r="A90">
        <v>11</v>
      </c>
    </row>
    <row r="92" spans="1:8" x14ac:dyDescent="0.25">
      <c r="A92" t="s">
        <v>7</v>
      </c>
      <c r="B92" t="s">
        <v>28</v>
      </c>
      <c r="C92" t="s">
        <v>86</v>
      </c>
    </row>
    <row r="93" spans="1:8" x14ac:dyDescent="0.25">
      <c r="A93" t="s">
        <v>13</v>
      </c>
      <c r="B93" t="s">
        <v>30</v>
      </c>
    </row>
    <row r="94" spans="1:8" x14ac:dyDescent="0.25">
      <c r="A94" t="s">
        <v>17</v>
      </c>
      <c r="B94" t="s">
        <v>30</v>
      </c>
    </row>
    <row r="95" spans="1:8" x14ac:dyDescent="0.25">
      <c r="A95" t="s">
        <v>21</v>
      </c>
      <c r="B95" t="s">
        <v>30</v>
      </c>
    </row>
    <row r="97" spans="1:7" x14ac:dyDescent="0.25">
      <c r="A97">
        <v>12</v>
      </c>
    </row>
    <row r="99" spans="1:7" x14ac:dyDescent="0.25"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 t="s">
        <v>87</v>
      </c>
    </row>
    <row r="100" spans="1:7" x14ac:dyDescent="0.25">
      <c r="A100">
        <v>1</v>
      </c>
      <c r="B100" t="s">
        <v>37</v>
      </c>
      <c r="C100">
        <v>78</v>
      </c>
      <c r="D100">
        <v>82</v>
      </c>
      <c r="E100">
        <v>85</v>
      </c>
      <c r="F100">
        <v>92</v>
      </c>
      <c r="G100" s="2">
        <f>AVERAGE(C100,D100,E100)</f>
        <v>81.666666666666671</v>
      </c>
    </row>
    <row r="101" spans="1:7" x14ac:dyDescent="0.25">
      <c r="A101">
        <v>2</v>
      </c>
      <c r="B101" t="s">
        <v>38</v>
      </c>
      <c r="C101">
        <v>88</v>
      </c>
      <c r="D101">
        <v>91</v>
      </c>
      <c r="E101">
        <v>90</v>
      </c>
      <c r="F101">
        <v>96</v>
      </c>
      <c r="G101" s="2">
        <f t="shared" ref="G101:G104" si="7">AVERAGE(C101,D101,E101)</f>
        <v>89.666666666666671</v>
      </c>
    </row>
    <row r="102" spans="1:7" x14ac:dyDescent="0.25">
      <c r="A102">
        <v>3</v>
      </c>
      <c r="B102" t="s">
        <v>39</v>
      </c>
      <c r="C102">
        <v>65</v>
      </c>
      <c r="D102">
        <v>70</v>
      </c>
      <c r="E102">
        <v>72</v>
      </c>
      <c r="F102">
        <v>85</v>
      </c>
      <c r="G102" s="2">
        <f t="shared" si="7"/>
        <v>69</v>
      </c>
    </row>
    <row r="103" spans="1:7" x14ac:dyDescent="0.25">
      <c r="A103">
        <v>4</v>
      </c>
      <c r="B103" t="s">
        <v>40</v>
      </c>
      <c r="C103">
        <v>92</v>
      </c>
      <c r="D103">
        <v>89</v>
      </c>
      <c r="E103">
        <v>94</v>
      </c>
      <c r="F103">
        <v>98</v>
      </c>
      <c r="G103" s="2">
        <f t="shared" si="7"/>
        <v>91.666666666666671</v>
      </c>
    </row>
    <row r="104" spans="1:7" x14ac:dyDescent="0.25">
      <c r="A104">
        <v>5</v>
      </c>
      <c r="B104" t="s">
        <v>41</v>
      </c>
      <c r="C104">
        <v>55</v>
      </c>
      <c r="D104">
        <v>60</v>
      </c>
      <c r="E104">
        <v>58</v>
      </c>
      <c r="F104">
        <v>80</v>
      </c>
      <c r="G104" s="2">
        <f t="shared" si="7"/>
        <v>57.666666666666664</v>
      </c>
    </row>
    <row r="107" spans="1:7" x14ac:dyDescent="0.25">
      <c r="A107">
        <v>13</v>
      </c>
    </row>
    <row r="109" spans="1:7" x14ac:dyDescent="0.25">
      <c r="A109" t="s">
        <v>32</v>
      </c>
      <c r="B109" t="s">
        <v>87</v>
      </c>
      <c r="C109" t="s">
        <v>88</v>
      </c>
    </row>
    <row r="110" spans="1:7" x14ac:dyDescent="0.25">
      <c r="A110" t="s">
        <v>37</v>
      </c>
      <c r="B110" s="2">
        <v>81.666666666666671</v>
      </c>
      <c r="C110" s="2">
        <f>MAX(B110:B114,A110:A114)</f>
        <v>91.666666666666671</v>
      </c>
      <c r="E110" s="2"/>
    </row>
    <row r="111" spans="1:7" x14ac:dyDescent="0.25">
      <c r="A111" t="s">
        <v>38</v>
      </c>
      <c r="B111" s="2">
        <v>89.666666666666671</v>
      </c>
    </row>
    <row r="112" spans="1:7" x14ac:dyDescent="0.25">
      <c r="A112" t="s">
        <v>39</v>
      </c>
      <c r="B112" s="2">
        <v>69</v>
      </c>
    </row>
    <row r="113" spans="1:2" x14ac:dyDescent="0.25">
      <c r="A113" t="s">
        <v>40</v>
      </c>
      <c r="B113" s="2">
        <v>91.666666666666671</v>
      </c>
    </row>
    <row r="114" spans="1:2" x14ac:dyDescent="0.25">
      <c r="A114" t="s">
        <v>41</v>
      </c>
      <c r="B114" s="2">
        <v>57.666666666666664</v>
      </c>
    </row>
    <row r="116" spans="1:2" x14ac:dyDescent="0.25">
      <c r="A116">
        <v>14</v>
      </c>
    </row>
  </sheetData>
  <sortState xmlns:xlrd2="http://schemas.microsoft.com/office/spreadsheetml/2017/richdata2" ref="A82:H87">
    <sortCondition descending="1" ref="H82:H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ASDC10</cp:lastModifiedBy>
  <dcterms:created xsi:type="dcterms:W3CDTF">2025-12-20T09:26:06Z</dcterms:created>
  <dcterms:modified xsi:type="dcterms:W3CDTF">2026-07-13T07:24:41Z</dcterms:modified>
</cp:coreProperties>
</file>