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 2026\ASDC\"/>
    </mc:Choice>
  </mc:AlternateContent>
  <xr:revisionPtr revIDLastSave="0" documentId="13_ncr:1_{AB3DDD52-42BC-44A8-B6E6-9DC2BBCD989A}" xr6:coauthVersionLast="47" xr6:coauthVersionMax="47" xr10:uidLastSave="{00000000-0000-0000-0000-000000000000}"/>
  <bookViews>
    <workbookView xWindow="-110" yWindow="-110" windowWidth="19420" windowHeight="11500" activeTab="9" xr2:uid="{5103D716-A75D-48B7-881C-932569E4449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0" l="1"/>
  <c r="D4" i="10"/>
  <c r="D5" i="10"/>
  <c r="D2" i="10"/>
  <c r="C3" i="9"/>
  <c r="C4" i="9"/>
  <c r="C5" i="9"/>
  <c r="C2" i="9"/>
  <c r="C3" i="8"/>
  <c r="C4" i="8"/>
  <c r="C5" i="8"/>
  <c r="C2" i="8"/>
  <c r="D3" i="7"/>
  <c r="D4" i="7"/>
  <c r="D5" i="7"/>
  <c r="D2" i="7"/>
  <c r="D3" i="6"/>
  <c r="D4" i="6"/>
  <c r="D5" i="6"/>
  <c r="D2" i="6"/>
  <c r="D3" i="5"/>
  <c r="D4" i="5"/>
  <c r="D5" i="5"/>
  <c r="D2" i="5"/>
  <c r="D3" i="4"/>
  <c r="D4" i="4"/>
  <c r="D5" i="4"/>
  <c r="D2" i="4"/>
  <c r="C3" i="3"/>
  <c r="C4" i="3"/>
  <c r="C5" i="3"/>
  <c r="C6" i="3"/>
  <c r="C2" i="3"/>
  <c r="C3" i="2"/>
  <c r="C4" i="2"/>
  <c r="C5" i="2"/>
  <c r="C2" i="2"/>
  <c r="D3" i="1"/>
  <c r="D4" i="1"/>
  <c r="D5" i="1"/>
  <c r="D6" i="1"/>
  <c r="D2" i="1"/>
</calcChain>
</file>

<file path=xl/sharedStrings.xml><?xml version="1.0" encoding="utf-8"?>
<sst xmlns="http://schemas.openxmlformats.org/spreadsheetml/2006/main" count="111" uniqueCount="65">
  <si>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</si>
  <si>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</si>
  <si>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</si>
  <si>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</si>
  <si>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</si>
  <si>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</si>
  <si>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</si>
  <si>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</si>
  <si>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</si>
  <si>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</t>
  </si>
  <si>
    <t>If Marks ≥ 40 → Pass</t>
  </si>
  <si>
    <t>Else → Fail</t>
  </si>
  <si>
    <t>Employee Name</t>
  </si>
  <si>
    <t>Salary</t>
  </si>
  <si>
    <t>Bonus Status</t>
  </si>
  <si>
    <t>Rohit</t>
  </si>
  <si>
    <t>Simran</t>
  </si>
  <si>
    <t>Vijay</t>
  </si>
  <si>
    <t>Nisha</t>
  </si>
  <si>
    <t>Salary ≥ 40000 → Bonus</t>
  </si>
  <si>
    <t>Else → No Bonus</t>
  </si>
  <si>
    <t>Grade</t>
  </si>
  <si>
    <t>≥ 75 → A</t>
  </si>
  <si>
    <t>≥ 60 → B</t>
  </si>
  <si>
    <t>≥ 40 → C</t>
  </si>
  <si>
    <t>&lt; 40 → Fail</t>
  </si>
  <si>
    <t>Name</t>
  </si>
  <si>
    <t>Age</t>
  </si>
  <si>
    <t>Experience (Years)</t>
  </si>
  <si>
    <t>Eligible</t>
  </si>
  <si>
    <t>Age ≥ 21 AND Experience ≥ 1 → Eligible</t>
  </si>
  <si>
    <t>Attendance %</t>
  </si>
  <si>
    <t>Assignment Submitted</t>
  </si>
  <si>
    <t>Yes</t>
  </si>
  <si>
    <t>No</t>
  </si>
  <si>
    <t>Attendance ≥ 75 AND Assignment = Yes</t>
  </si>
  <si>
    <t>Customer Name</t>
  </si>
  <si>
    <t>Purchase Amount</t>
  </si>
  <si>
    <t>Membership</t>
  </si>
  <si>
    <t>Discount</t>
  </si>
  <si>
    <t>Aakash</t>
  </si>
  <si>
    <t>Bhavna</t>
  </si>
  <si>
    <t>Divya</t>
  </si>
  <si>
    <t>Purchase ≥ 10000 OR Membership = Yes</t>
  </si>
  <si>
    <t>Applicant</t>
  </si>
  <si>
    <t>CIBIL Score</t>
  </si>
  <si>
    <t>Loan Status</t>
  </si>
  <si>
    <t>Salary ≥ 40000 OR CIBIL ≥ 700</t>
  </si>
  <si>
    <t>Present</t>
  </si>
  <si>
    <t>Status</t>
  </si>
  <si>
    <t>If NOT Present → Absent</t>
  </si>
  <si>
    <t>Else → Present</t>
  </si>
  <si>
    <t>Number 1</t>
  </si>
  <si>
    <t>Number 2</t>
  </si>
  <si>
    <t>Divide Number 1 by Number 2</t>
  </si>
  <si>
    <t>If error → show "Invalid"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</si>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</sst>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  <font>
      <sz val="13.75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6686-4970-4D20-BD8D-50A0F09D1194}">
  <dimension ref="A1:F6"/>
  <sheetViews>
    <sheetView workbookViewId="0">
      <selection activeCell="E6" sqref="E6"/>
    </sheetView>
  </sheetViews>
  <sheetFormatPr defaultRowHeight="14.5" x14ac:dyDescent="0.35"/>
  <cols>
    <col min="6" max="6" width="24.6328125" customWidth="1"/>
  </cols>
  <sheetData>
    <row r="1" spans="1:6" ht="23" x14ac:dyDescent="0.35">
      <c r="A1" s="1" t="s">
        <v>0</v>
      </c>
      <c r="B1" s="1" t="s">
        <v>1</v>
      </c>
      <c r="C1" s="1" t="s">
        <v>2</v>
      </c>
      <c r="D1" s="1" t="s">
        <v>3</v>
      </c>
      <c r="F1" s="4" t="s">
        <v>9</v>
      </c>
    </row>
    <row r="2" spans="1:6" x14ac:dyDescent="0.35">
      <c r="A2" s="2">
        <v>1</v>
      </c>
      <c r="B2" s="2" t="s">
        <v>4</v>
      </c>
      <c r="C2" s="2">
        <v>78</v>
      </c>
      <c r="D2" s="2" t="str">
        <f>IF(C2&gt;=40,"Pass","Fail")</f>
        <v>Pass</v>
      </c>
      <c r="F2" s="5" t="s">
        <v>10</v>
      </c>
    </row>
    <row r="3" spans="1:6" x14ac:dyDescent="0.35">
      <c r="A3" s="3">
        <v>2</v>
      </c>
      <c r="B3" s="3" t="s">
        <v>5</v>
      </c>
      <c r="C3" s="3">
        <v>35</v>
      </c>
      <c r="D3" s="2" t="str">
        <f t="shared" ref="D3:D6" si="0">IF(C3&gt;=40,"Pass","Fail")</f>
        <v>Fail</v>
      </c>
      <c r="F3" s="5" t="s">
        <v>11</v>
      </c>
    </row>
    <row r="4" spans="1:6" x14ac:dyDescent="0.35">
      <c r="A4" s="2">
        <v>3</v>
      </c>
      <c r="B4" s="2" t="s">
        <v>6</v>
      </c>
      <c r="C4" s="2">
        <v>62</v>
      </c>
      <c r="D4" s="2" t="str">
        <f t="shared" si="0"/>
        <v>Pass</v>
      </c>
    </row>
    <row r="5" spans="1:6" x14ac:dyDescent="0.35">
      <c r="A5" s="3">
        <v>4</v>
      </c>
      <c r="B5" s="3" t="s">
        <v>7</v>
      </c>
      <c r="C5" s="3">
        <v>40</v>
      </c>
      <c r="D5" s="2" t="str">
        <f t="shared" si="0"/>
        <v>Pass</v>
      </c>
    </row>
    <row r="6" spans="1:6" x14ac:dyDescent="0.35">
      <c r="A6" s="2">
        <v>5</v>
      </c>
      <c r="B6" s="2" t="s">
        <v>8</v>
      </c>
      <c r="C6" s="2">
        <v>28</v>
      </c>
      <c r="D6" s="2" t="str">
        <f t="shared" si="0"/>
        <v>Fail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C03B-439A-4363-B2BA-DF2E51652843}">
  <dimension ref="A1:F5"/>
  <sheetViews>
    <sheetView workbookViewId="0">
      <selection activeCell="C2" sqref="C2:C5"/>
    </sheetView>
  </sheetViews>
  <sheetFormatPr defaultRowHeight="14.5" x14ac:dyDescent="0.35"/>
  <cols>
    <col min="6" max="6" width="26" customWidth="1"/>
  </cols>
  <sheetData>
    <row r="1" spans="1:6" ht="23" x14ac:dyDescent="0.35">
      <c r="A1" s="1" t="s">
        <v>12</v>
      </c>
      <c r="B1" s="1" t="s">
        <v>13</v>
      </c>
      <c r="C1" s="1" t="s">
        <v>14</v>
      </c>
      <c r="F1" s="4" t="s">
        <v>9</v>
      </c>
    </row>
    <row r="2" spans="1:6" x14ac:dyDescent="0.35">
      <c r="A2" s="2" t="s">
        <v>15</v>
      </c>
      <c r="B2" s="2">
        <v>28000</v>
      </c>
      <c r="C2" s="2" t="str">
        <f>IF(B2&gt;=40000,"Bonus","No Bonus")</f>
        <v>No Bonus</v>
      </c>
      <c r="F2" s="5" t="s">
        <v>19</v>
      </c>
    </row>
    <row r="3" spans="1:6" x14ac:dyDescent="0.35">
      <c r="A3" s="3" t="s">
        <v>16</v>
      </c>
      <c r="B3" s="3">
        <v>45000</v>
      </c>
      <c r="C3" s="2" t="str">
        <f t="shared" ref="C3:C5" si="0">IF(B3&gt;=40000,"Bonus","No Bonus")</f>
        <v>Bonus</v>
      </c>
      <c r="F3" s="5" t="s">
        <v>20</v>
      </c>
    </row>
    <row r="4" spans="1:6" x14ac:dyDescent="0.35">
      <c r="A4" s="2" t="s">
        <v>17</v>
      </c>
      <c r="B4" s="2">
        <v>52000</v>
      </c>
      <c r="C4" s="2" t="str">
        <f t="shared" si="0"/>
        <v>Bonus</v>
      </c>
    </row>
    <row r="5" spans="1:6" x14ac:dyDescent="0.35">
      <c r="A5" s="3" t="s">
        <v>18</v>
      </c>
      <c r="B5" s="3">
        <v>30000</v>
      </c>
      <c r="C5" s="2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57C-55E6-4B9B-8F8E-B61C99137C76}">
  <dimension ref="A1:F6"/>
  <sheetViews>
    <sheetView workbookViewId="0">
      <selection activeCell="E4" sqref="E4"/>
    </sheetView>
  </sheetViews>
  <sheetFormatPr defaultRowHeight="14.5" x14ac:dyDescent="0.35"/>
  <cols>
    <col min="6" max="6" width="29" customWidth="1"/>
  </cols>
  <sheetData>
    <row r="1" spans="1:6" ht="23" x14ac:dyDescent="0.35">
      <c r="A1" s="1" t="s">
        <v>1</v>
      </c>
      <c r="B1" s="1" t="s">
        <v>2</v>
      </c>
      <c r="C1" s="1" t="s">
        <v>21</v>
      </c>
      <c r="F1" s="4" t="s">
        <v>9</v>
      </c>
    </row>
    <row r="2" spans="1:6" x14ac:dyDescent="0.35">
      <c r="A2" s="2" t="s">
        <v>4</v>
      </c>
      <c r="B2" s="2">
        <v>82</v>
      </c>
      <c r="C2" s="2" t="str">
        <f>IF(B2&gt;=75,"A",IF(B2&gt;=60,"B",IF(B2&gt;=40,"C","Fail")))</f>
        <v>A</v>
      </c>
      <c r="F2" s="5" t="s">
        <v>22</v>
      </c>
    </row>
    <row r="3" spans="1:6" x14ac:dyDescent="0.35">
      <c r="A3" s="3" t="s">
        <v>5</v>
      </c>
      <c r="B3" s="3">
        <v>67</v>
      </c>
      <c r="C3" s="2" t="str">
        <f t="shared" ref="C3:C6" si="0">IF(B3&gt;=75,"A",IF(B3&gt;=60,"B",IF(B3&gt;=40,"C","Fail")))</f>
        <v>B</v>
      </c>
      <c r="F3" s="5" t="s">
        <v>23</v>
      </c>
    </row>
    <row r="4" spans="1:6" x14ac:dyDescent="0.35">
      <c r="A4" s="2" t="s">
        <v>6</v>
      </c>
      <c r="B4" s="2">
        <v>45</v>
      </c>
      <c r="C4" s="2" t="str">
        <f t="shared" si="0"/>
        <v>C</v>
      </c>
      <c r="F4" s="5" t="s">
        <v>24</v>
      </c>
    </row>
    <row r="5" spans="1:6" x14ac:dyDescent="0.35">
      <c r="A5" s="3" t="s">
        <v>7</v>
      </c>
      <c r="B5" s="3">
        <v>33</v>
      </c>
      <c r="C5" s="2" t="str">
        <f t="shared" si="0"/>
        <v>Fail</v>
      </c>
      <c r="F5" s="5" t="s">
        <v>25</v>
      </c>
    </row>
    <row r="6" spans="1:6" x14ac:dyDescent="0.35">
      <c r="A6" s="2" t="s">
        <v>8</v>
      </c>
      <c r="B6" s="2">
        <v>90</v>
      </c>
      <c r="C6" s="2" t="str">
        <f t="shared" si="0"/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540A-FDCB-4357-8665-22D988196951}">
  <dimension ref="A1:G5"/>
  <sheetViews>
    <sheetView workbookViewId="0">
      <selection activeCell="E4" sqref="E4"/>
    </sheetView>
  </sheetViews>
  <sheetFormatPr defaultRowHeight="14.5" x14ac:dyDescent="0.35"/>
  <cols>
    <col min="7" max="7" width="30.36328125" customWidth="1"/>
  </cols>
  <sheetData>
    <row r="1" spans="1:7" ht="23" x14ac:dyDescent="0.35">
      <c r="A1" s="1" t="s">
        <v>26</v>
      </c>
      <c r="B1" s="1" t="s">
        <v>27</v>
      </c>
      <c r="C1" s="1" t="s">
        <v>28</v>
      </c>
      <c r="D1" s="1" t="s">
        <v>29</v>
      </c>
      <c r="G1" s="4" t="s">
        <v>9</v>
      </c>
    </row>
    <row r="2" spans="1:7" x14ac:dyDescent="0.35">
      <c r="A2" s="2" t="s">
        <v>15</v>
      </c>
      <c r="B2" s="2">
        <v>25</v>
      </c>
      <c r="C2" s="2">
        <v>2</v>
      </c>
      <c r="D2" s="2" t="str">
        <f>IF(AND(B2&gt;=21,C2&gt;=1),"Eligible","not Eligible")</f>
        <v>Eligible</v>
      </c>
      <c r="G2" s="5" t="s">
        <v>30</v>
      </c>
    </row>
    <row r="3" spans="1:7" x14ac:dyDescent="0.35">
      <c r="A3" s="3" t="s">
        <v>16</v>
      </c>
      <c r="B3" s="3">
        <v>20</v>
      </c>
      <c r="C3" s="3">
        <v>1</v>
      </c>
      <c r="D3" s="2" t="str">
        <f t="shared" ref="D3:D5" si="0">IF(AND(B3&gt;=21,C3&gt;=1),"Eligible","not Eligible")</f>
        <v>not Eligible</v>
      </c>
    </row>
    <row r="4" spans="1:7" x14ac:dyDescent="0.35">
      <c r="A4" s="2" t="s">
        <v>17</v>
      </c>
      <c r="B4" s="2">
        <v>30</v>
      </c>
      <c r="C4" s="2">
        <v>5</v>
      </c>
      <c r="D4" s="2" t="str">
        <f t="shared" si="0"/>
        <v>Eligible</v>
      </c>
    </row>
    <row r="5" spans="1:7" x14ac:dyDescent="0.35">
      <c r="A5" s="3" t="s">
        <v>18</v>
      </c>
      <c r="B5" s="3">
        <v>22</v>
      </c>
      <c r="C5" s="3">
        <v>0</v>
      </c>
      <c r="D5" s="2" t="str">
        <f t="shared" si="0"/>
        <v>not Eligible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4606-DEFF-431B-B95B-063AC7C9353F}">
  <dimension ref="A1:G5"/>
  <sheetViews>
    <sheetView workbookViewId="0">
      <selection activeCell="D2" sqref="D2:D5"/>
    </sheetView>
  </sheetViews>
  <sheetFormatPr defaultRowHeight="14.5" x14ac:dyDescent="0.35"/>
  <cols>
    <col min="7" max="7" width="28.54296875" customWidth="1"/>
  </cols>
  <sheetData>
    <row r="1" spans="1:7" ht="34.5" x14ac:dyDescent="0.35">
      <c r="A1" s="1" t="s">
        <v>1</v>
      </c>
      <c r="B1" s="1" t="s">
        <v>31</v>
      </c>
      <c r="C1" s="1" t="s">
        <v>32</v>
      </c>
      <c r="D1" s="1" t="s">
        <v>29</v>
      </c>
      <c r="G1" s="4" t="s">
        <v>9</v>
      </c>
    </row>
    <row r="2" spans="1:7" ht="23" x14ac:dyDescent="0.35">
      <c r="A2" s="2" t="s">
        <v>4</v>
      </c>
      <c r="B2" s="2">
        <v>85</v>
      </c>
      <c r="C2" s="2" t="s">
        <v>33</v>
      </c>
      <c r="D2" s="2" t="str">
        <f>IF(AND(B2&gt;=75,C2="Yes"),"Yes","no")</f>
        <v>Yes</v>
      </c>
      <c r="G2" s="5" t="s">
        <v>35</v>
      </c>
    </row>
    <row r="3" spans="1:7" x14ac:dyDescent="0.35">
      <c r="A3" s="3" t="s">
        <v>5</v>
      </c>
      <c r="B3" s="3">
        <v>72</v>
      </c>
      <c r="C3" s="3" t="s">
        <v>33</v>
      </c>
      <c r="D3" s="2" t="str">
        <f t="shared" ref="D3:D5" si="0">IF(AND(B3&gt;=75,C3="Yes"),"Yes","no")</f>
        <v>no</v>
      </c>
    </row>
    <row r="4" spans="1:7" x14ac:dyDescent="0.35">
      <c r="A4" s="2" t="s">
        <v>6</v>
      </c>
      <c r="B4" s="2">
        <v>90</v>
      </c>
      <c r="C4" s="2" t="s">
        <v>34</v>
      </c>
      <c r="D4" s="2" t="str">
        <f t="shared" si="0"/>
        <v>no</v>
      </c>
    </row>
    <row r="5" spans="1:7" x14ac:dyDescent="0.35">
      <c r="A5" s="3" t="s">
        <v>7</v>
      </c>
      <c r="B5" s="3">
        <v>80</v>
      </c>
      <c r="C5" s="3" t="s">
        <v>33</v>
      </c>
      <c r="D5" s="2" t="str">
        <f t="shared" si="0"/>
        <v>Yes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3C7F-2988-4423-AC18-EC10781FF595}">
  <dimension ref="A1:H5"/>
  <sheetViews>
    <sheetView workbookViewId="0">
      <selection activeCell="F7" sqref="F7"/>
    </sheetView>
  </sheetViews>
  <sheetFormatPr defaultRowHeight="14.5" x14ac:dyDescent="0.35"/>
  <cols>
    <col min="8" max="8" width="36.54296875" customWidth="1"/>
  </cols>
  <sheetData>
    <row r="1" spans="1:8" ht="23" x14ac:dyDescent="0.35">
      <c r="A1" s="1" t="s">
        <v>36</v>
      </c>
      <c r="B1" s="1" t="s">
        <v>37</v>
      </c>
      <c r="C1" s="1" t="s">
        <v>38</v>
      </c>
      <c r="D1" s="1" t="s">
        <v>39</v>
      </c>
      <c r="H1" s="4" t="s">
        <v>9</v>
      </c>
    </row>
    <row r="2" spans="1:8" x14ac:dyDescent="0.35">
      <c r="A2" s="2" t="s">
        <v>40</v>
      </c>
      <c r="B2" s="2">
        <v>9000</v>
      </c>
      <c r="C2" s="2" t="s">
        <v>34</v>
      </c>
      <c r="D2" s="2" t="str">
        <f>IF(OR(B2&gt;=10000,C2="Yes"),"Yes","No")</f>
        <v>No</v>
      </c>
      <c r="H2" s="5" t="s">
        <v>43</v>
      </c>
    </row>
    <row r="3" spans="1:8" x14ac:dyDescent="0.35">
      <c r="A3" s="3" t="s">
        <v>41</v>
      </c>
      <c r="B3" s="3">
        <v>12000</v>
      </c>
      <c r="C3" s="3" t="s">
        <v>34</v>
      </c>
      <c r="D3" s="2" t="str">
        <f t="shared" ref="D3:D5" si="0">IF(OR(B3&gt;=10000,C3="Yes"),"Yes","No")</f>
        <v>Yes</v>
      </c>
    </row>
    <row r="4" spans="1:8" x14ac:dyDescent="0.35">
      <c r="A4" s="2" t="s">
        <v>6</v>
      </c>
      <c r="B4" s="2">
        <v>4000</v>
      </c>
      <c r="C4" s="2" t="s">
        <v>33</v>
      </c>
      <c r="D4" s="2" t="str">
        <f t="shared" si="0"/>
        <v>Yes</v>
      </c>
    </row>
    <row r="5" spans="1:8" x14ac:dyDescent="0.35">
      <c r="A5" s="3" t="s">
        <v>42</v>
      </c>
      <c r="B5" s="3">
        <v>3000</v>
      </c>
      <c r="C5" s="3" t="s">
        <v>34</v>
      </c>
      <c r="D5" s="2" t="str">
        <f t="shared" si="0"/>
        <v>No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EB84-081E-49F7-A7CF-C87A4DEA5A45}">
  <dimension ref="A1:G5"/>
  <sheetViews>
    <sheetView workbookViewId="0">
      <selection activeCell="D2" sqref="D2:D5"/>
    </sheetView>
  </sheetViews>
  <sheetFormatPr defaultRowHeight="14.5" x14ac:dyDescent="0.35"/>
  <cols>
    <col min="7" max="7" width="25" customWidth="1"/>
  </cols>
  <sheetData>
    <row r="1" spans="1:7" ht="23" x14ac:dyDescent="0.35">
      <c r="A1" s="1" t="s">
        <v>44</v>
      </c>
      <c r="B1" s="1" t="s">
        <v>13</v>
      </c>
      <c r="C1" s="1" t="s">
        <v>45</v>
      </c>
      <c r="D1" s="1" t="s">
        <v>46</v>
      </c>
      <c r="G1" s="4" t="s">
        <v>9</v>
      </c>
    </row>
    <row r="2" spans="1:7" x14ac:dyDescent="0.35">
      <c r="A2" s="2" t="s">
        <v>15</v>
      </c>
      <c r="B2" s="2">
        <v>35000</v>
      </c>
      <c r="C2" s="2">
        <v>720</v>
      </c>
      <c r="D2" s="2" t="str">
        <f>IF(OR(B2&gt;=40000,C2&gt;=700),"Yes","no")</f>
        <v>Yes</v>
      </c>
      <c r="G2" s="5" t="s">
        <v>47</v>
      </c>
    </row>
    <row r="3" spans="1:7" x14ac:dyDescent="0.35">
      <c r="A3" s="3" t="s">
        <v>16</v>
      </c>
      <c r="B3" s="3">
        <v>25000</v>
      </c>
      <c r="C3" s="3">
        <v>680</v>
      </c>
      <c r="D3" s="2" t="str">
        <f t="shared" ref="D3:D5" si="0">IF(OR(B3&gt;=40000,C3&gt;=700),"Yes","no")</f>
        <v>no</v>
      </c>
    </row>
    <row r="4" spans="1:7" x14ac:dyDescent="0.35">
      <c r="A4" s="2" t="s">
        <v>17</v>
      </c>
      <c r="B4" s="2">
        <v>50000</v>
      </c>
      <c r="C4" s="2">
        <v>650</v>
      </c>
      <c r="D4" s="2" t="str">
        <f t="shared" si="0"/>
        <v>Yes</v>
      </c>
    </row>
    <row r="5" spans="1:7" x14ac:dyDescent="0.35">
      <c r="A5" s="3" t="s">
        <v>18</v>
      </c>
      <c r="B5" s="3">
        <v>20000</v>
      </c>
      <c r="C5" s="3">
        <v>600</v>
      </c>
      <c r="D5" s="2" t="str">
        <f t="shared" si="0"/>
        <v>no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3C8C-0D88-4D8A-803F-0B9B1B61AA7C}">
  <dimension ref="A1:G5"/>
  <sheetViews>
    <sheetView workbookViewId="0">
      <selection activeCell="C2" sqref="C2:C5"/>
    </sheetView>
  </sheetViews>
  <sheetFormatPr defaultRowHeight="14.5" x14ac:dyDescent="0.35"/>
  <cols>
    <col min="7" max="7" width="26.81640625" customWidth="1"/>
  </cols>
  <sheetData>
    <row r="1" spans="1:7" ht="21" x14ac:dyDescent="0.35">
      <c r="A1" s="1" t="s">
        <v>26</v>
      </c>
      <c r="B1" s="1" t="s">
        <v>48</v>
      </c>
      <c r="C1" s="1" t="s">
        <v>49</v>
      </c>
      <c r="G1" s="4" t="s">
        <v>9</v>
      </c>
    </row>
    <row r="2" spans="1:7" x14ac:dyDescent="0.35">
      <c r="A2" s="2" t="s">
        <v>4</v>
      </c>
      <c r="B2" s="2" t="b">
        <v>1</v>
      </c>
      <c r="C2" s="2" t="str">
        <f>IF(NOT(B2),"Absent","Present")</f>
        <v>Present</v>
      </c>
      <c r="G2" s="5" t="s">
        <v>50</v>
      </c>
    </row>
    <row r="3" spans="1:7" x14ac:dyDescent="0.35">
      <c r="A3" s="3" t="s">
        <v>5</v>
      </c>
      <c r="B3" s="3" t="b">
        <v>0</v>
      </c>
      <c r="C3" s="2" t="str">
        <f t="shared" ref="C3:C5" si="0">IF(NOT(B3),"Absent","Present")</f>
        <v>Absent</v>
      </c>
      <c r="G3" s="5" t="s">
        <v>51</v>
      </c>
    </row>
    <row r="4" spans="1:7" x14ac:dyDescent="0.35">
      <c r="A4" s="2" t="s">
        <v>6</v>
      </c>
      <c r="B4" s="2" t="b">
        <v>1</v>
      </c>
      <c r="C4" s="2" t="str">
        <f t="shared" si="0"/>
        <v>Present</v>
      </c>
    </row>
    <row r="5" spans="1:7" x14ac:dyDescent="0.35">
      <c r="A5" s="3" t="s">
        <v>7</v>
      </c>
      <c r="B5" s="3" t="b">
        <v>0</v>
      </c>
      <c r="C5" s="2" t="str">
        <f t="shared" si="0"/>
        <v>Absent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7BD7-7E80-4EEF-AF0E-A0352B12A0E3}">
  <dimension ref="A1:F5"/>
  <sheetViews>
    <sheetView workbookViewId="0">
      <selection activeCell="C2" sqref="C2:C5"/>
    </sheetView>
  </sheetViews>
  <sheetFormatPr defaultRowHeight="14.5" x14ac:dyDescent="0.35"/>
  <cols>
    <col min="6" max="6" width="23.81640625" customWidth="1"/>
  </cols>
  <sheetData>
    <row r="1" spans="1:6" ht="21" x14ac:dyDescent="0.35">
      <c r="A1" s="1" t="s">
        <v>52</v>
      </c>
      <c r="B1" s="1" t="s">
        <v>53</v>
      </c>
      <c r="C1" s="1" t="s">
        <v>3</v>
      </c>
      <c r="F1" s="4" t="s">
        <v>9</v>
      </c>
    </row>
    <row r="2" spans="1:6" x14ac:dyDescent="0.35">
      <c r="A2" s="2">
        <v>10</v>
      </c>
      <c r="B2" s="2">
        <v>2</v>
      </c>
      <c r="C2" s="2">
        <f>IFERROR(A2/B2,"Invalid")</f>
        <v>5</v>
      </c>
      <c r="F2" s="5" t="s">
        <v>54</v>
      </c>
    </row>
    <row r="3" spans="1:6" x14ac:dyDescent="0.35">
      <c r="A3" s="3">
        <v>15</v>
      </c>
      <c r="B3" s="3">
        <v>0</v>
      </c>
      <c r="C3" s="2" t="str">
        <f t="shared" ref="C3:C5" si="0">IFERROR(A3/B3,"Invalid")</f>
        <v>Invalid</v>
      </c>
      <c r="F3" s="5" t="s">
        <v>55</v>
      </c>
    </row>
    <row r="4" spans="1:6" x14ac:dyDescent="0.35">
      <c r="A4" s="2">
        <v>20</v>
      </c>
      <c r="B4" s="2">
        <v>5</v>
      </c>
      <c r="C4" s="2">
        <f t="shared" si="0"/>
        <v>4</v>
      </c>
    </row>
    <row r="5" spans="1:6" x14ac:dyDescent="0.35">
      <c r="A5" s="3">
        <v>8</v>
      </c>
      <c r="B5" s="3">
        <v>0</v>
      </c>
      <c r="C5" s="2" t="str">
        <f t="shared" si="0"/>
        <v>Invalid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7569-0854-43C9-8C6D-73B86BA29330}">
  <dimension ref="A1:G5"/>
  <sheetViews>
    <sheetView tabSelected="1" workbookViewId="0">
      <selection activeCell="E8" sqref="E8"/>
    </sheetView>
  </sheetViews>
  <sheetFormatPr defaultRowHeight="14.5" x14ac:dyDescent="0.35"/>
  <cols>
    <col min="4" max="4" width="13.1796875" bestFit="1" customWidth="1"/>
    <col min="7" max="7" width="32.7265625" customWidth="1"/>
  </cols>
  <sheetData>
    <row r="1" spans="1:7" ht="23" x14ac:dyDescent="0.35">
      <c r="A1" s="1" t="s">
        <v>12</v>
      </c>
      <c r="B1" s="1" t="s">
        <v>56</v>
      </c>
      <c r="C1" s="1" t="s">
        <v>31</v>
      </c>
      <c r="D1" s="1" t="s">
        <v>57</v>
      </c>
      <c r="G1" s="4" t="s">
        <v>9</v>
      </c>
    </row>
    <row r="2" spans="1:7" x14ac:dyDescent="0.35">
      <c r="A2" s="2" t="s">
        <v>58</v>
      </c>
      <c r="B2" s="2">
        <v>45</v>
      </c>
      <c r="C2" s="2">
        <v>92</v>
      </c>
      <c r="D2" s="2" t="str">
        <f>IF(AND(C2&gt;=90,B2&gt;=40),"Excellent",IF(C2&gt;=80,"Good","Need Improvement"))</f>
        <v>Excellent</v>
      </c>
      <c r="G2" s="5" t="s">
        <v>62</v>
      </c>
    </row>
    <row r="3" spans="1:7" x14ac:dyDescent="0.35">
      <c r="A3" s="3" t="s">
        <v>59</v>
      </c>
      <c r="B3" s="3">
        <v>38</v>
      </c>
      <c r="C3" s="3">
        <v>85</v>
      </c>
      <c r="D3" s="2" t="str">
        <f t="shared" ref="D3:D5" si="0">IF(AND(C3&gt;=90,B3&gt;=40),"Excellent",IF(C3&gt;=80,"Good","Need Improvement"))</f>
        <v>Good</v>
      </c>
      <c r="G3" s="5" t="s">
        <v>63</v>
      </c>
    </row>
    <row r="4" spans="1:7" x14ac:dyDescent="0.35">
      <c r="A4" s="2" t="s">
        <v>60</v>
      </c>
      <c r="B4" s="2">
        <v>50</v>
      </c>
      <c r="C4" s="2">
        <v>95</v>
      </c>
      <c r="D4" s="2" t="str">
        <f t="shared" si="0"/>
        <v>Excellent</v>
      </c>
      <c r="G4" s="5" t="s">
        <v>64</v>
      </c>
    </row>
    <row r="5" spans="1:7" x14ac:dyDescent="0.35">
      <c r="A5" s="3" t="s">
        <v>61</v>
      </c>
      <c r="B5" s="3">
        <v>30</v>
      </c>
      <c r="C5" s="3">
        <v>70</v>
      </c>
      <c r="D5" s="2" t="str">
        <f t="shared" si="0"/>
        <v>Need Improvement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 Subham</dc:creator>
  <cp:lastModifiedBy>Gyan Subham</cp:lastModifiedBy>
  <dcterms:created xsi:type="dcterms:W3CDTF">2026-08-07T03:42:55Z</dcterms:created>
  <dcterms:modified xsi:type="dcterms:W3CDTF">2026-08-07T04:05:16Z</dcterms:modified>
</cp:coreProperties>
</file>